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0996e87ec8f7262f/Consultancy Work/World Bank - FCV education work (Dec 21- )/- Edu Fin Work/- Final Dataset^J accompanying note^J report write up/"/>
    </mc:Choice>
  </mc:AlternateContent>
  <xr:revisionPtr revIDLastSave="62" documentId="8_{E40D88BC-2CAC-419F-9DA6-718DB80C8208}" xr6:coauthVersionLast="47" xr6:coauthVersionMax="47" xr10:uidLastSave="{076CBCBE-BE20-4EE0-87C0-92C55782F1E4}"/>
  <bookViews>
    <workbookView xWindow="-120" yWindow="-120" windowWidth="29040" windowHeight="15720" tabRatio="766" xr2:uid="{00000000-000D-0000-FFFF-FFFF00000000}"/>
  </bookViews>
  <sheets>
    <sheet name="Summary" sheetId="34" r:id="rId1"/>
    <sheet name="School-Age Refugee Population" sheetId="48" r:id="rId2"/>
    <sheet name="Refugee and Host Populations" sheetId="46" r:id="rId3"/>
    <sheet name="Philanthropic Financing" sheetId="29" r:id="rId4"/>
    <sheet name="ODA for Refugee Situations" sheetId="30" r:id="rId5"/>
    <sheet name="Host Government Financing" sheetId="44" r:id="rId6"/>
    <sheet name="Sources-&gt;" sheetId="26" state="hidden" r:id="rId7"/>
    <sheet name="Background sheets-&gt;" sheetId="18" state="hidden" r:id="rId8"/>
  </sheets>
  <externalReferences>
    <externalReference r:id="rId9"/>
  </externalReferences>
  <definedNames>
    <definedName name="_xlchart.v1.0" hidden="1">'Philanthropic Financing'!$F$29:$F$44</definedName>
    <definedName name="_xlchart.v1.1" hidden="1">'Philanthropic Financing'!$G$29:$G$44</definedName>
    <definedName name="lst_langue">[1]!tbl_langues[Langue]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4" l="1"/>
</calcChain>
</file>

<file path=xl/sharedStrings.xml><?xml version="1.0" encoding="utf-8"?>
<sst xmlns="http://schemas.openxmlformats.org/spreadsheetml/2006/main" count="799" uniqueCount="456">
  <si>
    <t>Year</t>
  </si>
  <si>
    <t>Afghanistan</t>
  </si>
  <si>
    <t>Albania</t>
  </si>
  <si>
    <t>Egypt</t>
  </si>
  <si>
    <t>EGY</t>
  </si>
  <si>
    <t>Argentina</t>
  </si>
  <si>
    <t>Armenia</t>
  </si>
  <si>
    <t>Australia</t>
  </si>
  <si>
    <t>Austria</t>
  </si>
  <si>
    <t>Azerbaijan</t>
  </si>
  <si>
    <t>Belgium</t>
  </si>
  <si>
    <t>Bangladesh</t>
  </si>
  <si>
    <t>BGD</t>
  </si>
  <si>
    <t>Belarus</t>
  </si>
  <si>
    <t>Brazil</t>
  </si>
  <si>
    <t>BRA</t>
  </si>
  <si>
    <t>Bosnia and Herzegovina</t>
  </si>
  <si>
    <t>Canada</t>
  </si>
  <si>
    <t>Colombia</t>
  </si>
  <si>
    <t>COL</t>
  </si>
  <si>
    <t>Cuba</t>
  </si>
  <si>
    <t>Cyprus</t>
  </si>
  <si>
    <t>Denmark</t>
  </si>
  <si>
    <t>Ecuador</t>
  </si>
  <si>
    <t>ECU</t>
  </si>
  <si>
    <t>Estonia</t>
  </si>
  <si>
    <t>Fiji</t>
  </si>
  <si>
    <t>Finland</t>
  </si>
  <si>
    <t>France</t>
  </si>
  <si>
    <t>Georgia</t>
  </si>
  <si>
    <t>Germany</t>
  </si>
  <si>
    <t>Greece</t>
  </si>
  <si>
    <t>Croatia</t>
  </si>
  <si>
    <t>Hungary</t>
  </si>
  <si>
    <t>Iceland</t>
  </si>
  <si>
    <t>India</t>
  </si>
  <si>
    <t>IND</t>
  </si>
  <si>
    <t>Indonesia</t>
  </si>
  <si>
    <t>Ireland</t>
  </si>
  <si>
    <t>Iran (Islamic Rep. of)</t>
  </si>
  <si>
    <t>IRN</t>
  </si>
  <si>
    <t>Iraq</t>
  </si>
  <si>
    <t>IRQ</t>
  </si>
  <si>
    <t>Italy</t>
  </si>
  <si>
    <t>Jordan</t>
  </si>
  <si>
    <t>JOR</t>
  </si>
  <si>
    <t>Japan</t>
  </si>
  <si>
    <t>Kazakhstan</t>
  </si>
  <si>
    <t>Kenya</t>
  </si>
  <si>
    <t>KEN</t>
  </si>
  <si>
    <t>Kyrgyzstan</t>
  </si>
  <si>
    <t>Kuwait</t>
  </si>
  <si>
    <t>Libya</t>
  </si>
  <si>
    <t>Lebanon</t>
  </si>
  <si>
    <t>LBN</t>
  </si>
  <si>
    <t>Liechtenstein</t>
  </si>
  <si>
    <t>Sri Lanka</t>
  </si>
  <si>
    <t>Lithuania</t>
  </si>
  <si>
    <t>Luxembourg</t>
  </si>
  <si>
    <t>Latvia</t>
  </si>
  <si>
    <t>Madagascar</t>
  </si>
  <si>
    <t>North Macedonia</t>
  </si>
  <si>
    <t>Mexico</t>
  </si>
  <si>
    <t>MEX</t>
  </si>
  <si>
    <t>Malaysia</t>
  </si>
  <si>
    <t>Montenegro</t>
  </si>
  <si>
    <t>Mongolia</t>
  </si>
  <si>
    <t>Morocco</t>
  </si>
  <si>
    <t>Malta</t>
  </si>
  <si>
    <t>Nepal</t>
  </si>
  <si>
    <t>Netherlands</t>
  </si>
  <si>
    <t>Nigeria</t>
  </si>
  <si>
    <t>Norway</t>
  </si>
  <si>
    <t>New Zealand</t>
  </si>
  <si>
    <t>Pakistan</t>
  </si>
  <si>
    <t>PAK</t>
  </si>
  <si>
    <t>Panama</t>
  </si>
  <si>
    <t>Peru</t>
  </si>
  <si>
    <t>PER</t>
  </si>
  <si>
    <t>Philippines</t>
  </si>
  <si>
    <t>Papua New Guinea</t>
  </si>
  <si>
    <t>Poland</t>
  </si>
  <si>
    <t>Portugal</t>
  </si>
  <si>
    <t>Qatar</t>
  </si>
  <si>
    <t>Romania</t>
  </si>
  <si>
    <t>South Africa</t>
  </si>
  <si>
    <t>ZAF</t>
  </si>
  <si>
    <t>Saudi Arabia</t>
  </si>
  <si>
    <t>Spain</t>
  </si>
  <si>
    <t>Sudan</t>
  </si>
  <si>
    <t>SDN</t>
  </si>
  <si>
    <t>Slovenia</t>
  </si>
  <si>
    <t>Sweden</t>
  </si>
  <si>
    <t>Switzerland</t>
  </si>
  <si>
    <t>Thailand</t>
  </si>
  <si>
    <t>Tajikistan</t>
  </si>
  <si>
    <t>TUR</t>
  </si>
  <si>
    <t>United Arab Emirates</t>
  </si>
  <si>
    <t>Ukraine</t>
  </si>
  <si>
    <t>Uzbekistan</t>
  </si>
  <si>
    <t>Tunisia</t>
  </si>
  <si>
    <t>Angola</t>
  </si>
  <si>
    <t>Botswana</t>
  </si>
  <si>
    <t>Cameroon</t>
  </si>
  <si>
    <t>CMR</t>
  </si>
  <si>
    <t>Congo</t>
  </si>
  <si>
    <t>Dem. Rep. of the Congo</t>
  </si>
  <si>
    <t>COD</t>
  </si>
  <si>
    <t>Costa Rica</t>
  </si>
  <si>
    <t>Mozambique</t>
  </si>
  <si>
    <t>Rwanda</t>
  </si>
  <si>
    <t>Zambia</t>
  </si>
  <si>
    <t>Zimbabwe</t>
  </si>
  <si>
    <t>Ethiopia</t>
  </si>
  <si>
    <t>ETH</t>
  </si>
  <si>
    <t>Ghana</t>
  </si>
  <si>
    <t>Somalia</t>
  </si>
  <si>
    <t>Uganda</t>
  </si>
  <si>
    <t>UGA</t>
  </si>
  <si>
    <t>Yemen</t>
  </si>
  <si>
    <t>Paraguay</t>
  </si>
  <si>
    <t>Burundi</t>
  </si>
  <si>
    <t>Benin</t>
  </si>
  <si>
    <t>Burkina Faso</t>
  </si>
  <si>
    <t>Chad</t>
  </si>
  <si>
    <t>TCD</t>
  </si>
  <si>
    <t>Gabon</t>
  </si>
  <si>
    <t>Guinea-Bissau</t>
  </si>
  <si>
    <t>Guinea</t>
  </si>
  <si>
    <t>Mali</t>
  </si>
  <si>
    <t>Malawi</t>
  </si>
  <si>
    <t>Senegal</t>
  </si>
  <si>
    <t>South Sudan</t>
  </si>
  <si>
    <t>SSD</t>
  </si>
  <si>
    <t>United Rep. of Tanzania</t>
  </si>
  <si>
    <t>TZA</t>
  </si>
  <si>
    <t>Algeria</t>
  </si>
  <si>
    <t>Mauritania</t>
  </si>
  <si>
    <t>Vanuatu</t>
  </si>
  <si>
    <t>Liberia</t>
  </si>
  <si>
    <t>Niger</t>
  </si>
  <si>
    <t>NER</t>
  </si>
  <si>
    <t>Guatemala</t>
  </si>
  <si>
    <t>Gambia</t>
  </si>
  <si>
    <t>Guyana</t>
  </si>
  <si>
    <t>Lesotho</t>
  </si>
  <si>
    <t>Djibouti</t>
  </si>
  <si>
    <t>Nicaragua</t>
  </si>
  <si>
    <t>El Salvador</t>
  </si>
  <si>
    <t>Belize</t>
  </si>
  <si>
    <t>Honduras</t>
  </si>
  <si>
    <t>Eritrea</t>
  </si>
  <si>
    <t>Jamaica</t>
  </si>
  <si>
    <t>Sierra Leone</t>
  </si>
  <si>
    <t>Monaco</t>
  </si>
  <si>
    <t>Cambodia</t>
  </si>
  <si>
    <t>Myanmar</t>
  </si>
  <si>
    <t>Viet Nam</t>
  </si>
  <si>
    <t>Saint Vincent and the Grenadines</t>
  </si>
  <si>
    <t>Female 5 - 11</t>
  </si>
  <si>
    <t>Female 12 - 17</t>
  </si>
  <si>
    <t>Male 5 - 11</t>
  </si>
  <si>
    <t>Male 12 - 17</t>
  </si>
  <si>
    <t>Total</t>
  </si>
  <si>
    <t>Turkiye</t>
  </si>
  <si>
    <t>Host country</t>
  </si>
  <si>
    <t>Country of Origin</t>
  </si>
  <si>
    <t>Haiti</t>
  </si>
  <si>
    <t>Porticus</t>
  </si>
  <si>
    <t>Mastercard Foundation</t>
  </si>
  <si>
    <t>Ford Foundation</t>
  </si>
  <si>
    <t>NA</t>
  </si>
  <si>
    <t>Organisation name</t>
  </si>
  <si>
    <t>USD millions (2021)</t>
  </si>
  <si>
    <t>LEGO Foundation</t>
  </si>
  <si>
    <t>Jacobs Foundation</t>
  </si>
  <si>
    <t>Open Society Foundations</t>
  </si>
  <si>
    <t>Bill &amp; Melinda Gates Foundation</t>
  </si>
  <si>
    <t>Conrad N. Hilton Foundation</t>
  </si>
  <si>
    <t>Michael &amp; Susan Dell Foundation</t>
  </si>
  <si>
    <t>John D. &amp; Catherine T. MacArthur Foundation</t>
  </si>
  <si>
    <t>Citi Foundation</t>
  </si>
  <si>
    <t>UBS Optimus Foundation</t>
  </si>
  <si>
    <t>La Caixa Banking Foundation</t>
  </si>
  <si>
    <t>BBVA Microfinance Foundation</t>
  </si>
  <si>
    <t>Omidyar Network Fund, Inc.</t>
  </si>
  <si>
    <t>IKEA Foundation</t>
  </si>
  <si>
    <t>Dutch Postcode Lottery</t>
  </si>
  <si>
    <t>Other</t>
  </si>
  <si>
    <t>People's Postcode Lottery</t>
  </si>
  <si>
    <t>Children's Investment Fund Foundation</t>
  </si>
  <si>
    <t>Swedish Postcode Lottery</t>
  </si>
  <si>
    <t>Charity Projects Ltd (Comic Relief)</t>
  </si>
  <si>
    <t>Rockefeller Foundation</t>
  </si>
  <si>
    <t>Oak Foundation</t>
  </si>
  <si>
    <t>Bernard van Leer Foundation</t>
  </si>
  <si>
    <t>German Postcode Lottery</t>
  </si>
  <si>
    <t>Luminos Fund</t>
  </si>
  <si>
    <t>Conrad N Hilton Foundation</t>
  </si>
  <si>
    <t>The Andrew W Mellon Foundation</t>
  </si>
  <si>
    <t>Open Society Institute</t>
  </si>
  <si>
    <t>MADRE</t>
  </si>
  <si>
    <t>The Boston Foundation</t>
  </si>
  <si>
    <t>Pellissippi State Community College Foundation</t>
  </si>
  <si>
    <t>The National Lottery Community Fund</t>
  </si>
  <si>
    <t>Foundation Open Society Institute - Switzerland</t>
  </si>
  <si>
    <t>Western Union Foundation</t>
  </si>
  <si>
    <t>Vanguard Charitable</t>
  </si>
  <si>
    <t>Bank of America Charitable Foundation, Inc.</t>
  </si>
  <si>
    <t>StartSmall LLC</t>
  </si>
  <si>
    <t>UNFCU Foundation Inc</t>
  </si>
  <si>
    <t>GlobalGiving</t>
  </si>
  <si>
    <t>Anonymous Funder 13</t>
  </si>
  <si>
    <t>Yad Soffin Foundation</t>
  </si>
  <si>
    <t>Co Trust Dorothea Haus Ross Foundation</t>
  </si>
  <si>
    <t>The Velaj Foundation</t>
  </si>
  <si>
    <t>Sea Stone Foundation</t>
  </si>
  <si>
    <t>Albert B Glickman Family Foundation</t>
  </si>
  <si>
    <t>The Community Foundation for Northern Virginia</t>
  </si>
  <si>
    <t>Dedicated to Learning</t>
  </si>
  <si>
    <t>Smith Family Benevolent Fund</t>
  </si>
  <si>
    <t>Ayudar Foundation</t>
  </si>
  <si>
    <t>Bny Mellon Charitable Gift Fund</t>
  </si>
  <si>
    <t>Goldman Sachs Philanthropy Fund</t>
  </si>
  <si>
    <t>Naperville Rotary Charities Inc</t>
  </si>
  <si>
    <t>Philanthropy Massachusetts</t>
  </si>
  <si>
    <t>The Oaks Charlotte</t>
  </si>
  <si>
    <t>Declaration of Trust of the Bijan Amin and Soraya Amin Foundation</t>
  </si>
  <si>
    <t>The Sears Swetland Family Foundation</t>
  </si>
  <si>
    <t>Seven Turns Fund Inc</t>
  </si>
  <si>
    <t>Lilly Endowment Inc</t>
  </si>
  <si>
    <t>Windhover Foundation Inc</t>
  </si>
  <si>
    <t>Seattle Foundation</t>
  </si>
  <si>
    <t>Edward H Harvitt Family Foundation</t>
  </si>
  <si>
    <t>Drs Subhi &amp; Maysoon Ali Foundation Inc</t>
  </si>
  <si>
    <t>New York Community Trust aka Community Funds, Inc.</t>
  </si>
  <si>
    <t>The Virginia Wellington Cabot Foundation C/o Cabot-Wellington LLC</t>
  </si>
  <si>
    <t>The Yaseen Family Foundation Inc</t>
  </si>
  <si>
    <t>USD millions</t>
  </si>
  <si>
    <t>Mastercard</t>
  </si>
  <si>
    <t>LEGO</t>
  </si>
  <si>
    <t>Jacobs</t>
  </si>
  <si>
    <t>Hilton</t>
  </si>
  <si>
    <t>Dell</t>
  </si>
  <si>
    <t>MacArthur</t>
  </si>
  <si>
    <t>La Caixa</t>
  </si>
  <si>
    <t>BBVA</t>
  </si>
  <si>
    <t>Omidyar</t>
  </si>
  <si>
    <t xml:space="preserve">Million USD </t>
  </si>
  <si>
    <t>Proportion</t>
  </si>
  <si>
    <t>Dev. Education</t>
  </si>
  <si>
    <t>HM. Education</t>
  </si>
  <si>
    <t>Peace Education</t>
  </si>
  <si>
    <t>Other Education</t>
  </si>
  <si>
    <t>Undefined Education</t>
  </si>
  <si>
    <t>NGOs and CSOs</t>
  </si>
  <si>
    <t>Research/Private sector/PPP</t>
  </si>
  <si>
    <t>Not classified</t>
  </si>
  <si>
    <t>Türkiye</t>
  </si>
  <si>
    <t>Syrian Arab Republic</t>
  </si>
  <si>
    <t>Developing countries, unspecified</t>
  </si>
  <si>
    <t>Middle East, regional</t>
  </si>
  <si>
    <t>Democratic Republic of the Congo</t>
  </si>
  <si>
    <t>Africa, regional</t>
  </si>
  <si>
    <t>South of Sahara, regional</t>
  </si>
  <si>
    <t>South &amp; Central Asia, regional</t>
  </si>
  <si>
    <t>Central African Republic</t>
  </si>
  <si>
    <t>Kosovo</t>
  </si>
  <si>
    <t>Eastern Africa, regional</t>
  </si>
  <si>
    <t>Central America, regional</t>
  </si>
  <si>
    <t>North of Sahara, regional</t>
  </si>
  <si>
    <t>Asia, regional</t>
  </si>
  <si>
    <t>Côte d'Ivoire</t>
  </si>
  <si>
    <t>Caribbean &amp; Central America, regional</t>
  </si>
  <si>
    <t>Venezuela</t>
  </si>
  <si>
    <t>South America, regional</t>
  </si>
  <si>
    <t>America, regional</t>
  </si>
  <si>
    <t>Bolivia</t>
  </si>
  <si>
    <t>Central Asia, regional</t>
  </si>
  <si>
    <t>China (People's Republic of)</t>
  </si>
  <si>
    <t>Dominican Republic</t>
  </si>
  <si>
    <t>Europe, regional</t>
  </si>
  <si>
    <t>Lao People's Democratic Republic</t>
  </si>
  <si>
    <t>Middle Africa, regional</t>
  </si>
  <si>
    <t>Moldova</t>
  </si>
  <si>
    <t>Oceania, regional</t>
  </si>
  <si>
    <t>Serbia</t>
  </si>
  <si>
    <t>South Asia, regional</t>
  </si>
  <si>
    <t>Southern Africa, regional</t>
  </si>
  <si>
    <t>States Ex-Yugoslavia unspecified</t>
  </si>
  <si>
    <t>Timor-Leste</t>
  </si>
  <si>
    <t>Western Africa, regional</t>
  </si>
  <si>
    <t>UNRWA</t>
  </si>
  <si>
    <t>EU Institutions</t>
  </si>
  <si>
    <t>United Kingdom</t>
  </si>
  <si>
    <t>United States</t>
  </si>
  <si>
    <t>World Bank (IBRD)</t>
  </si>
  <si>
    <t>Inter-American Development Bank</t>
  </si>
  <si>
    <t>World Bank (IDA)</t>
  </si>
  <si>
    <t>Korea</t>
  </si>
  <si>
    <t>UNHCR</t>
  </si>
  <si>
    <t>Central Emergency Response Fund</t>
  </si>
  <si>
    <t>Czech Republic</t>
  </si>
  <si>
    <t>Islamic Development Bank</t>
  </si>
  <si>
    <t>International Labour Organisation</t>
  </si>
  <si>
    <t>Slovak Republic</t>
  </si>
  <si>
    <t>United Nations Industrial Development Organization</t>
  </si>
  <si>
    <t>UN Peacebuilding Fund</t>
  </si>
  <si>
    <t>WFP</t>
  </si>
  <si>
    <t>UNDP</t>
  </si>
  <si>
    <t>Global Fund</t>
  </si>
  <si>
    <t>UNAIDS</t>
  </si>
  <si>
    <t>UNICEF</t>
  </si>
  <si>
    <t>United Nations Conference on Trade and Development</t>
  </si>
  <si>
    <t>WTO - International Trade Centre</t>
  </si>
  <si>
    <t>African Development Bank</t>
  </si>
  <si>
    <t>Council of Europe Development Bank</t>
  </si>
  <si>
    <t>Arab Fund (AFESD)</t>
  </si>
  <si>
    <t>Global Environment Facility</t>
  </si>
  <si>
    <t>West Bank &amp; Gaza Strip</t>
  </si>
  <si>
    <t>Missing</t>
  </si>
  <si>
    <t>Philanthropy</t>
  </si>
  <si>
    <t>Host Gov.</t>
  </si>
  <si>
    <t xml:space="preserve">Total </t>
  </si>
  <si>
    <t>West Bank and Gaza Strip</t>
  </si>
  <si>
    <t>ODA</t>
  </si>
  <si>
    <t>Humanitarian</t>
  </si>
  <si>
    <t>Development</t>
  </si>
  <si>
    <t>Far East Asia, regional</t>
  </si>
  <si>
    <t>SSA</t>
  </si>
  <si>
    <t>EAP</t>
  </si>
  <si>
    <t>LAC</t>
  </si>
  <si>
    <t>MENA</t>
  </si>
  <si>
    <t>Peace</t>
  </si>
  <si>
    <t>Caribbean, regional</t>
  </si>
  <si>
    <t>Region</t>
  </si>
  <si>
    <t>Low income</t>
  </si>
  <si>
    <t>Upper middle income</t>
  </si>
  <si>
    <t>Lower middle income</t>
  </si>
  <si>
    <t>High income</t>
  </si>
  <si>
    <t>Education</t>
  </si>
  <si>
    <t>71% Venezuela, 9% Haiti, 4% Cuba, 2% Syria, 2% Angola, 12% Other.</t>
  </si>
  <si>
    <t>ECA</t>
  </si>
  <si>
    <t>ISO</t>
  </si>
  <si>
    <t>Primary: USD 1,382
Secondary: USD 1,608</t>
  </si>
  <si>
    <t>Primary: USD 160
Secondary: USD 206</t>
  </si>
  <si>
    <t>All other ODA</t>
  </si>
  <si>
    <t>Citi</t>
  </si>
  <si>
    <t>IKEA</t>
  </si>
  <si>
    <t>Dutch Lottery</t>
  </si>
  <si>
    <t>Gats</t>
  </si>
  <si>
    <t>UBS</t>
  </si>
  <si>
    <t>Total Financing</t>
  </si>
  <si>
    <t>USD 41,214,170</t>
  </si>
  <si>
    <t>USD 9,164,865</t>
  </si>
  <si>
    <t>Primary: USD 276; USD 226.50
Secondary: USD 268; USD 218.50</t>
  </si>
  <si>
    <t>Total cost (2022)</t>
  </si>
  <si>
    <t>ODA for refugee situations:</t>
  </si>
  <si>
    <t>Total cost (2021)</t>
  </si>
  <si>
    <t>For those that receive state education: 
Primary: USD 49
Secondary: USD 260</t>
  </si>
  <si>
    <t>Primary: USD 12
Secondary: USD 190</t>
  </si>
  <si>
    <t>Primary: USD 53.55
Secondary: USD 326.47</t>
  </si>
  <si>
    <t>Host government financing for education for refugees (USD)</t>
  </si>
  <si>
    <t>Host government financing for education for refugees (per student child)  (USD)</t>
  </si>
  <si>
    <t>30% Venezuela, 26% Honduras, 19% Haiti, 8% El Salvador, 5% Cuba, 3% Chile, 3% Guatemala, 2% Nicaragua, 1% Colombia, 1% Brazil, 2% Other.</t>
  </si>
  <si>
    <t>40% Syria, 21% Palestinian, 15% Sudan, 6% Eritrea, 6% South Sudan, 5% Ethiopia, 3% Yemen, 2% Somalia.</t>
  </si>
  <si>
    <t>87% Syria, 6% Turkey, 3% Iran, 3% Palestine.</t>
  </si>
  <si>
    <t>99% Venezuela.</t>
  </si>
  <si>
    <t>25% Ethiopia, 23% DRC, 11% Somalia, 10% Bangladesh, 6% Zimbabwe, 5% Congo, 4% Burundi, 4% Pakistan, 2% Uganda, 2% India, 2% Nigeria, 1% Rwanda, 1% Malawi, 1% Eritrea, 1% Ghana, 1% Other.</t>
  </si>
  <si>
    <t>97% Afghanistan, 3% Iraq.</t>
  </si>
  <si>
    <t>40% Rwanda, 40% CAR, 11% South Sudan, 8% Burundi.</t>
  </si>
  <si>
    <t>89% Syria, 9% Iraq, 1% Jordan.</t>
  </si>
  <si>
    <t>98% Syria, 1% Iraq.</t>
  </si>
  <si>
    <t>100% Myanmar.</t>
  </si>
  <si>
    <t>41% Sri Lanka, 33% China, 18% Myanmar, 7% Afghanistan, 1% Other.</t>
  </si>
  <si>
    <t>47% South Sudan, 27% Somalia, 19% Eritrea, 6% Sudan.</t>
  </si>
  <si>
    <t>92% Syria, 4% Iraq, 3% Afghanistan, 1% Iran.</t>
  </si>
  <si>
    <t>61% South Sudan, 29% DRC, 3% Burundi, 3% Somalia, 2% Rwanda, 1% Eritrea.</t>
  </si>
  <si>
    <t>99.9% Afghanistan.</t>
  </si>
  <si>
    <t>71% South Sudan, 11% Eritrea, 8% Syria, 6% Ethiopia, 2% CAR.</t>
  </si>
  <si>
    <t>99.9% Venezuela.</t>
  </si>
  <si>
    <t>90% Venezuela, 10% Colombia.</t>
  </si>
  <si>
    <t>91% Sudan, 5% DRC, 2% Ethioipia, 1% Eritrea, 1% CAR.</t>
  </si>
  <si>
    <t>73% CAR, 26% Nigeria.</t>
  </si>
  <si>
    <t>74% Nigeria, 23% Mali, 1% Sudan, 1% Chad.</t>
  </si>
  <si>
    <t>70% Burundi, 30% DRC.</t>
  </si>
  <si>
    <t>67% Sudan, 22% CAR, 6% Cameroon, 4% Nigeria.</t>
  </si>
  <si>
    <t>53% Somalia, 25% South Sudan, 9% DRC, 6% Ethiopia, 4% Burundi, 2% Sudan, 1% Uganda.</t>
  </si>
  <si>
    <t>Primary: USD 15 
(Government financed primary only)</t>
  </si>
  <si>
    <t>SA</t>
  </si>
  <si>
    <t>Income</t>
  </si>
  <si>
    <t>Misc</t>
  </si>
  <si>
    <t>13:1</t>
  </si>
  <si>
    <t>24:1</t>
  </si>
  <si>
    <t>139:1</t>
  </si>
  <si>
    <t>33:1</t>
  </si>
  <si>
    <t>16:1</t>
  </si>
  <si>
    <t>106:1</t>
  </si>
  <si>
    <t>4469:1</t>
  </si>
  <si>
    <t>122:1</t>
  </si>
  <si>
    <t>4:1</t>
  </si>
  <si>
    <t>12:1</t>
  </si>
  <si>
    <t>142:1</t>
  </si>
  <si>
    <t>69:1</t>
  </si>
  <si>
    <t>81:1</t>
  </si>
  <si>
    <t>31:1</t>
  </si>
  <si>
    <t>47:1</t>
  </si>
  <si>
    <t>29:1</t>
  </si>
  <si>
    <t>23:1</t>
  </si>
  <si>
    <t>73:1</t>
  </si>
  <si>
    <t>261:1</t>
  </si>
  <si>
    <t>163:1</t>
  </si>
  <si>
    <t>382:1</t>
  </si>
  <si>
    <t>18:1</t>
  </si>
  <si>
    <t>182:1</t>
  </si>
  <si>
    <t>280:1</t>
  </si>
  <si>
    <t>301:1</t>
  </si>
  <si>
    <t>Primary: USD 1,345
Secondary: USD 1,450</t>
  </si>
  <si>
    <t>Primary and Secondary average: USD 247</t>
  </si>
  <si>
    <t>Primary and Secondary average: USD 359</t>
  </si>
  <si>
    <t>Primary and Secondary average: USD 450</t>
  </si>
  <si>
    <t>Primary: USD 77
Seondary: USD 357</t>
  </si>
  <si>
    <t>Primary: USD 650
Secondary: USD 862</t>
  </si>
  <si>
    <t>Pre-Primary: USD 826 
Primary: USD 972
Secondary: USD 1,135</t>
  </si>
  <si>
    <t>Primary: USD 350
Secondary: USD 536</t>
  </si>
  <si>
    <t>Primary: USD 574
Secondary: USD 350</t>
  </si>
  <si>
    <t>Multilateral Organisations</t>
  </si>
  <si>
    <t>Host Country Governments</t>
  </si>
  <si>
    <t>Total Education</t>
  </si>
  <si>
    <t>Proportion Education</t>
  </si>
  <si>
    <t>Total ODA for refugee situations</t>
  </si>
  <si>
    <t>This dataset examines the 25 largest refugee hosting LICs and MICs as of 2021.</t>
  </si>
  <si>
    <t>Host Government</t>
  </si>
  <si>
    <t>School-age refugee pop. (2021)</t>
  </si>
  <si>
    <t>School-age host pop. (2021)</t>
  </si>
  <si>
    <t>% of school-age refugees vs. school-age host pop.</t>
  </si>
  <si>
    <t>All financing data recorded for first implementing partner only.</t>
  </si>
  <si>
    <t>Education ODA for refugee situations, by type of aid</t>
  </si>
  <si>
    <t>Education ODA for refugee situations, by type of recipient</t>
  </si>
  <si>
    <t>Education ODA for refugee situations, by recipient</t>
  </si>
  <si>
    <t>Education ODA for refugee situations, by donor</t>
  </si>
  <si>
    <t>Total cost*</t>
  </si>
  <si>
    <t>Additional cost 2022*</t>
  </si>
  <si>
    <t xml:space="preserve">* Cost data courtesy of Silva, K. (2023) The Global Cost of Inclusive Refugee Education – 2023 Update, World Bank </t>
  </si>
  <si>
    <t>Refugee Education Financing in LICs and MICs, 2021</t>
  </si>
  <si>
    <t>Ratio of school-age hosts: school-age refugee pop.</t>
  </si>
  <si>
    <t>'Refugee Population' refers to 'refugees', 'asylum seekers', and 'other people in need of international protection', as classifed by the UNHCR Refugee Population Statistics Database</t>
  </si>
  <si>
    <t>Refugee and Host Country Population Data, 2021</t>
  </si>
  <si>
    <t>Philanthropic Financing for Basic Refugee Education in LICs and MICs, 2021 (Millions USD)</t>
  </si>
  <si>
    <t>Estimated Host Government Financing for Basic Refugee Education in LICs and MICs, 2021 (USD)</t>
  </si>
  <si>
    <t>School-age Refugee Population Data, 2001-2022</t>
  </si>
  <si>
    <t>ODA for Refugee Situations in LICs and MICs, 2021 (Millions USD)</t>
  </si>
  <si>
    <t>Total Refugee Education Financing in LICs and MICs (Millions USD)</t>
  </si>
  <si>
    <t>ODA for Refugee Education in LICs and MICs, by Purpose Code (Percent)</t>
  </si>
  <si>
    <t>Refugee Education Financing, and the Costs of Inclusive Refugee Education, in LICs and MICs (Billions USD)</t>
  </si>
  <si>
    <t xml:space="preserve">* Cost data reflects the fiscal costs of providing inclusive refugee education (i.e. the costs of educating refugees through national education systems).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</si>
</sst>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[$USD]\ #,##0"/>
    <numFmt numFmtId="167" formatCode="_(* #,##0.00_);_(* \(#,##0.00\);_(* &quot;-&quot;??_);_(@_)"/>
    <numFmt numFmtId="168" formatCode="_(* #,##0.0_);_(* \(#,##0.0\);_(* &quot;-&quot;??_);_(@_)"/>
    <numFmt numFmtId="169" formatCode="_(* #,##0_);_(* \(#,##0\);_(* &quot;-&quot;??_);_(@_)"/>
    <numFmt numFmtId="170" formatCode="0.0"/>
    <numFmt numFmtId="171" formatCode="_-* #,##0.000_-;\-* #,##0.0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4472C4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b/>
      <u val="singleAccounting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16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3" fillId="0" borderId="0"/>
    <xf numFmtId="0" fontId="14" fillId="0" borderId="0"/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0" xfId="0" applyNumberFormat="1" applyAlignment="1">
      <alignment horizontal="center"/>
    </xf>
    <xf numFmtId="0" fontId="8" fillId="0" borderId="0" xfId="3" applyFont="1"/>
    <xf numFmtId="0" fontId="7" fillId="0" borderId="0" xfId="3"/>
    <xf numFmtId="0" fontId="9" fillId="0" borderId="0" xfId="3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168" fontId="12" fillId="0" borderId="0" xfId="0" applyNumberFormat="1" applyFont="1" applyAlignment="1">
      <alignment horizontal="center" vertical="top" wrapText="1"/>
    </xf>
    <xf numFmtId="9" fontId="12" fillId="0" borderId="0" xfId="2" applyFont="1" applyAlignment="1">
      <alignment horizontal="center" vertical="top" wrapText="1"/>
    </xf>
    <xf numFmtId="169" fontId="12" fillId="0" borderId="0" xfId="4" applyNumberFormat="1" applyFont="1" applyBorder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7" fillId="0" borderId="0" xfId="3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3" fontId="3" fillId="0" borderId="0" xfId="0" applyNumberFormat="1" applyFont="1"/>
    <xf numFmtId="0" fontId="1" fillId="3" borderId="0" xfId="0" applyFont="1" applyFill="1"/>
    <xf numFmtId="0" fontId="0" fillId="3" borderId="0" xfId="0" applyFill="1"/>
    <xf numFmtId="165" fontId="12" fillId="0" borderId="0" xfId="2" applyNumberFormat="1" applyFont="1" applyAlignment="1">
      <alignment vertical="top" wrapText="1"/>
    </xf>
    <xf numFmtId="43" fontId="0" fillId="0" borderId="0" xfId="0" applyNumberFormat="1"/>
    <xf numFmtId="9" fontId="0" fillId="0" borderId="0" xfId="2" applyFont="1"/>
    <xf numFmtId="170" fontId="12" fillId="0" borderId="0" xfId="0" applyNumberFormat="1" applyFont="1" applyAlignment="1">
      <alignment vertical="top" wrapText="1"/>
    </xf>
    <xf numFmtId="164" fontId="0" fillId="0" borderId="1" xfId="1" applyNumberFormat="1" applyFont="1" applyFill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 vertical="center"/>
    </xf>
    <xf numFmtId="164" fontId="0" fillId="0" borderId="0" xfId="0" applyNumberFormat="1"/>
    <xf numFmtId="171" fontId="0" fillId="0" borderId="0" xfId="0" applyNumberFormat="1"/>
    <xf numFmtId="0" fontId="15" fillId="0" borderId="0" xfId="0" applyFont="1"/>
    <xf numFmtId="166" fontId="0" fillId="0" borderId="1" xfId="1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43" fontId="16" fillId="0" borderId="0" xfId="0" applyNumberFormat="1" applyFont="1"/>
    <xf numFmtId="164" fontId="0" fillId="0" borderId="1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6" fontId="4" fillId="0" borderId="1" xfId="2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2" fillId="0" borderId="1" xfId="2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166" fontId="0" fillId="0" borderId="1" xfId="2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165" fontId="0" fillId="2" borderId="0" xfId="0" applyNumberFormat="1" applyFill="1"/>
    <xf numFmtId="166" fontId="4" fillId="0" borderId="1" xfId="2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left" vertical="top" wrapText="1"/>
    </xf>
    <xf numFmtId="16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left" vertical="center" wrapText="1"/>
    </xf>
    <xf numFmtId="9" fontId="0" fillId="0" borderId="1" xfId="2" applyFont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left" vertical="top" wrapText="1"/>
    </xf>
    <xf numFmtId="0" fontId="4" fillId="0" borderId="0" xfId="0" quotePrefix="1" applyFont="1"/>
    <xf numFmtId="0" fontId="4" fillId="0" borderId="1" xfId="0" applyFont="1" applyBorder="1" applyAlignment="1">
      <alignment horizontal="left" vertical="center"/>
    </xf>
    <xf numFmtId="17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/>
  </cellXfs>
  <cellStyles count="9">
    <cellStyle name="Comma" xfId="1" builtinId="3"/>
    <cellStyle name="Comma 2" xfId="4" xr:uid="{869DEDB3-7634-4647-A5B5-165A2C83AEF5}"/>
    <cellStyle name="Comma 2 2" xfId="6" xr:uid="{8A5A8E7C-24FC-4A4D-85E1-047108B70696}"/>
    <cellStyle name="Normal" xfId="0" builtinId="0"/>
    <cellStyle name="Normal 2" xfId="3" xr:uid="{6C0F98D8-CE30-4BFF-B749-0D783205258C}"/>
    <cellStyle name="Normal 2 2" xfId="5" xr:uid="{57F5933E-7751-4E0D-90C7-99B385210CF6}"/>
    <cellStyle name="Normal 3" xfId="8" xr:uid="{D1664AEA-CA1A-44DE-A429-7DA743B9A82E}"/>
    <cellStyle name="Normal 4" xfId="7" xr:uid="{1A8AE1A5-BA40-4158-B635-59B3E24446E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itka Display" pitchFamily="2" charset="0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financing for refugee education in LICs and MICs,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285455053491307"/>
          <c:y val="0.18178713155980034"/>
          <c:w val="0.61768997630816302"/>
          <c:h val="0.7332678822770613"/>
        </c:manualLayout>
      </c:layout>
      <c:pieChart>
        <c:varyColors val="1"/>
        <c:ser>
          <c:idx val="0"/>
          <c:order val="0"/>
          <c:tx>
            <c:strRef>
              <c:f>Summary!$C$6</c:f>
              <c:strCache>
                <c:ptCount val="1"/>
                <c:pt idx="0">
                  <c:v>Million USD 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02-4E33-A996-63BA3A3C95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02-4E33-A996-63BA3A3C95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B0-439F-856D-E3EEDFC03F2C}"/>
              </c:ext>
            </c:extLst>
          </c:dPt>
          <c:dLbls>
            <c:dLbl>
              <c:idx val="1"/>
              <c:layout>
                <c:manualLayout>
                  <c:x val="0"/>
                  <c:y val="-1.55945387188656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02-4E33-A996-63BA3A3C95A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Summary!$B$7:$B$9</c:f>
              <c:strCache>
                <c:ptCount val="3"/>
                <c:pt idx="0">
                  <c:v>ODA</c:v>
                </c:pt>
                <c:pt idx="1">
                  <c:v>Philanthropy</c:v>
                </c:pt>
                <c:pt idx="2">
                  <c:v>Host Government</c:v>
                </c:pt>
              </c:strCache>
            </c:strRef>
          </c:cat>
          <c:val>
            <c:numRef>
              <c:f>Summary!$C$7:$C$9</c:f>
              <c:numCache>
                <c:formatCode>_-* #,##0_-;\-* #,##0_-;_-* "-"??_-;_-@_-</c:formatCode>
                <c:ptCount val="3"/>
                <c:pt idx="0">
                  <c:v>2629.9034057589606</c:v>
                </c:pt>
                <c:pt idx="1">
                  <c:v>419.90122142519516</c:v>
                </c:pt>
                <c:pt idx="2">
                  <c:v>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02-4E33-A996-63BA3A3C9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itka Display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itka Display" pitchFamily="2" charset="0"/>
                <a:ea typeface="+mn-ea"/>
                <a:cs typeface="+mn-cs"/>
              </a:defRPr>
            </a:pPr>
            <a:r>
              <a:rPr lang="en-GB" sz="1200">
                <a:solidFill>
                  <a:sysClr val="windowText" lastClr="000000"/>
                </a:solidFill>
              </a:rPr>
              <a:t>Total</a:t>
            </a:r>
            <a:r>
              <a:rPr lang="en-GB" sz="1200" baseline="0">
                <a:solidFill>
                  <a:sysClr val="windowText" lastClr="000000"/>
                </a:solidFill>
              </a:rPr>
              <a:t> financing for, and costs of, refugee education in LICs and MICs, 2021</a:t>
            </a:r>
            <a:endParaRPr lang="en-GB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79966363544976"/>
          <c:y val="8.95915436869883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710236620014987E-2"/>
          <c:y val="0.13862432678810113"/>
          <c:w val="0.84303485071254758"/>
          <c:h val="0.663636661847299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Summary!$B$24</c:f>
              <c:strCache>
                <c:ptCount val="1"/>
                <c:pt idx="0">
                  <c:v>ODA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Summary!$C$23:$D$23</c:f>
              <c:strCache>
                <c:ptCount val="2"/>
                <c:pt idx="0">
                  <c:v>Total Financing</c:v>
                </c:pt>
                <c:pt idx="1">
                  <c:v>Total cost (2021)</c:v>
                </c:pt>
              </c:strCache>
            </c:strRef>
          </c:cat>
          <c:val>
            <c:numRef>
              <c:f>Summary!$C$24:$D$24</c:f>
              <c:numCache>
                <c:formatCode>0.0</c:formatCode>
                <c:ptCount val="2"/>
                <c:pt idx="0">
                  <c:v>2.6299034057589608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B-43CA-9010-4FC89741169B}"/>
            </c:ext>
          </c:extLst>
        </c:ser>
        <c:ser>
          <c:idx val="1"/>
          <c:order val="1"/>
          <c:tx>
            <c:strRef>
              <c:f>Summary!$B$25</c:f>
              <c:strCache>
                <c:ptCount val="1"/>
                <c:pt idx="0">
                  <c:v>Host Gov.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Summary!$C$23:$D$23</c:f>
              <c:strCache>
                <c:ptCount val="2"/>
                <c:pt idx="0">
                  <c:v>Total Financing</c:v>
                </c:pt>
                <c:pt idx="1">
                  <c:v>Total cost (2021)</c:v>
                </c:pt>
              </c:strCache>
            </c:strRef>
          </c:cat>
          <c:val>
            <c:numRef>
              <c:f>Summary!$C$25</c:f>
              <c:numCache>
                <c:formatCode>0.0</c:formatCode>
                <c:ptCount val="1"/>
                <c:pt idx="0">
                  <c:v>1.7532308444202984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B-43CA-9010-4FC89741169B}"/>
            </c:ext>
          </c:extLst>
        </c:ser>
        <c:ser>
          <c:idx val="2"/>
          <c:order val="2"/>
          <c:tx>
            <c:strRef>
              <c:f>Summary!$B$26</c:f>
              <c:strCache>
                <c:ptCount val="1"/>
                <c:pt idx="0">
                  <c:v>Philanthropy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Summary!$C$23:$D$23</c:f>
              <c:strCache>
                <c:ptCount val="2"/>
                <c:pt idx="0">
                  <c:v>Total Financing</c:v>
                </c:pt>
                <c:pt idx="1">
                  <c:v>Total cost (2021)</c:v>
                </c:pt>
              </c:strCache>
            </c:strRef>
          </c:cat>
          <c:val>
            <c:numRef>
              <c:f>Summary!$C$26:$D$26</c:f>
              <c:numCache>
                <c:formatCode>0.0</c:formatCode>
                <c:ptCount val="2"/>
                <c:pt idx="0">
                  <c:v>0.41990122142519515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B-43CA-9010-4FC89741169B}"/>
            </c:ext>
          </c:extLst>
        </c:ser>
        <c:ser>
          <c:idx val="3"/>
          <c:order val="3"/>
          <c:tx>
            <c:strRef>
              <c:f>Summary!$B$27</c:f>
              <c:strCache>
                <c:ptCount val="1"/>
                <c:pt idx="0">
                  <c:v>Total cost*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76-4BF4-8027-2654DCCFF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Summary!$C$23:$D$23</c:f>
              <c:strCache>
                <c:ptCount val="2"/>
                <c:pt idx="0">
                  <c:v>Total Financing</c:v>
                </c:pt>
                <c:pt idx="1">
                  <c:v>Total cost (2021)</c:v>
                </c:pt>
              </c:strCache>
            </c:strRef>
          </c:cat>
          <c:val>
            <c:numRef>
              <c:f>Summary!$C$27:$D$27</c:f>
              <c:numCache>
                <c:formatCode>0.0</c:formatCode>
                <c:ptCount val="2"/>
                <c:pt idx="1">
                  <c:v>7.6607129870273658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1B-43CA-9010-4FC89741169B}"/>
            </c:ext>
          </c:extLst>
        </c:ser>
        <c:ser>
          <c:idx val="4"/>
          <c:order val="4"/>
          <c:tx>
            <c:strRef>
              <c:f>Summary!$B$28</c:f>
              <c:strCache>
                <c:ptCount val="1"/>
                <c:pt idx="0">
                  <c:v>Additional cost 2022*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pct20">
                <a:fgClr>
                  <a:schemeClr val="accent5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AC-4293-846A-EF6F6ACDA13F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AC-4293-846A-EF6F6ACDA1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Summary!$C$23:$D$23</c:f>
              <c:strCache>
                <c:ptCount val="2"/>
                <c:pt idx="0">
                  <c:v>Total Financing</c:v>
                </c:pt>
                <c:pt idx="1">
                  <c:v>Total cost (2021)</c:v>
                </c:pt>
              </c:strCache>
            </c:strRef>
          </c:cat>
          <c:val>
            <c:numRef>
              <c:f>Summary!$C$28:$D$28</c:f>
              <c:numCache>
                <c:formatCode>0.0</c:formatCode>
                <c:ptCount val="2"/>
                <c:pt idx="1">
                  <c:v>1.6392870129726349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C-4293-846A-EF6F6ACD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73691567"/>
        <c:axId val="1477982607"/>
      </c:barChart>
      <c:catAx>
        <c:axId val="157369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1477982607"/>
        <c:crosses val="autoZero"/>
        <c:auto val="1"/>
        <c:lblAlgn val="ctr"/>
        <c:lblOffset val="100"/>
        <c:noMultiLvlLbl val="0"/>
      </c:catAx>
      <c:valAx>
        <c:axId val="14779826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r>
                  <a:rPr lang="en-GB"/>
                  <a:t>USD billions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itka Display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157369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4.9999920217137041E-2"/>
          <c:y val="0.90067433042330558"/>
          <c:w val="0.89999971251067301"/>
          <c:h val="8.156909405112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Sitka Display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ysClr val="windowText" lastClr="000000"/>
                </a:solidFill>
                <a:latin typeface="Sitka Display" pitchFamily="2" charset="0"/>
                <a:ea typeface="+mn-ea"/>
                <a:cs typeface="+mn-cs"/>
              </a:defRPr>
            </a:pPr>
            <a:r>
              <a:rPr lang="en-GB" sz="1200" b="0">
                <a:solidFill>
                  <a:sysClr val="windowText" lastClr="000000"/>
                </a:solidFill>
                <a:effectLst/>
              </a:rPr>
              <a:t>ODA by purpose code,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ysClr val="windowText" lastClr="000000"/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Summary!$B$16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Summary!$C$15:$D$15</c:f>
              <c:strCache>
                <c:ptCount val="2"/>
                <c:pt idx="0">
                  <c:v>Education</c:v>
                </c:pt>
                <c:pt idx="1">
                  <c:v>All other ODA</c:v>
                </c:pt>
              </c:strCache>
            </c:strRef>
          </c:cat>
          <c:val>
            <c:numRef>
              <c:f>Summary!$C$16:$D$16</c:f>
              <c:numCache>
                <c:formatCode>0%</c:formatCode>
                <c:ptCount val="2"/>
                <c:pt idx="0">
                  <c:v>0.87182513188830946</c:v>
                </c:pt>
                <c:pt idx="1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9-4BA3-B436-508DC33F8F79}"/>
            </c:ext>
          </c:extLst>
        </c:ser>
        <c:ser>
          <c:idx val="1"/>
          <c:order val="1"/>
          <c:tx>
            <c:strRef>
              <c:f>Summary!$B$17</c:f>
              <c:strCache>
                <c:ptCount val="1"/>
                <c:pt idx="0">
                  <c:v>Humanitarian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Summary!$C$15:$D$15</c:f>
              <c:strCache>
                <c:ptCount val="2"/>
                <c:pt idx="0">
                  <c:v>Education</c:v>
                </c:pt>
                <c:pt idx="1">
                  <c:v>All other ODA</c:v>
                </c:pt>
              </c:strCache>
            </c:strRef>
          </c:cat>
          <c:val>
            <c:numRef>
              <c:f>Summary!$C$17:$D$17</c:f>
              <c:numCache>
                <c:formatCode>0%</c:formatCode>
                <c:ptCount val="2"/>
                <c:pt idx="0">
                  <c:v>0.12297784969824896</c:v>
                </c:pt>
                <c:pt idx="1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9-4BA3-B436-508DC33F8F79}"/>
            </c:ext>
          </c:extLst>
        </c:ser>
        <c:ser>
          <c:idx val="2"/>
          <c:order val="2"/>
          <c:tx>
            <c:strRef>
              <c:f>Summary!$B$18</c:f>
              <c:strCache>
                <c:ptCount val="1"/>
                <c:pt idx="0">
                  <c:v>Peace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56375679641641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Sitka Display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39-4BA3-B436-508DC33F8F7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Sitka Display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539-4BA3-B436-508DC33F8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Summary!$C$15:$D$15</c:f>
              <c:strCache>
                <c:ptCount val="2"/>
                <c:pt idx="0">
                  <c:v>Education</c:v>
                </c:pt>
                <c:pt idx="1">
                  <c:v>All other ODA</c:v>
                </c:pt>
              </c:strCache>
            </c:strRef>
          </c:cat>
          <c:val>
            <c:numRef>
              <c:f>Summary!$C$18:$D$18</c:f>
              <c:numCache>
                <c:formatCode>0%</c:formatCode>
                <c:ptCount val="2"/>
                <c:pt idx="0">
                  <c:v>5.0472931302616578E-3</c:v>
                </c:pt>
                <c:pt idx="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9-4BA3-B436-508DC33F8F79}"/>
            </c:ext>
          </c:extLst>
        </c:ser>
        <c:ser>
          <c:idx val="3"/>
          <c:order val="3"/>
          <c:tx>
            <c:strRef>
              <c:f>Summary!$B$19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39-4BA3-B436-508DC33F8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Summary!$C$15:$D$15</c:f>
              <c:strCache>
                <c:ptCount val="2"/>
                <c:pt idx="0">
                  <c:v>Education</c:v>
                </c:pt>
                <c:pt idx="1">
                  <c:v>All other ODA</c:v>
                </c:pt>
              </c:strCache>
            </c:strRef>
          </c:cat>
          <c:val>
            <c:numRef>
              <c:f>Summary!$C$19:$D$19</c:f>
              <c:numCache>
                <c:formatCode>0%</c:formatCode>
                <c:ptCount val="2"/>
                <c:pt idx="0">
                  <c:v>0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39-4BA3-B436-508DC33F8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84964640"/>
        <c:axId val="131110976"/>
      </c:barChart>
      <c:catAx>
        <c:axId val="18496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131110976"/>
        <c:crosses val="autoZero"/>
        <c:auto val="1"/>
        <c:lblAlgn val="ctr"/>
        <c:lblOffset val="100"/>
        <c:noMultiLvlLbl val="0"/>
      </c:catAx>
      <c:valAx>
        <c:axId val="13111097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18496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itka Display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66277077591391"/>
          <c:y val="4.4699879028752582E-2"/>
          <c:w val="0.8175149752275126"/>
          <c:h val="0.69665043040352026"/>
        </c:manualLayout>
      </c:layout>
      <c:areaChart>
        <c:grouping val="stacked"/>
        <c:varyColors val="0"/>
        <c:ser>
          <c:idx val="0"/>
          <c:order val="0"/>
          <c:tx>
            <c:strRef>
              <c:f>'School-Age Refugee Population'!$B$7</c:f>
              <c:strCache>
                <c:ptCount val="1"/>
                <c:pt idx="0">
                  <c:v>EAP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Population'!$C$7:$X$7</c:f>
              <c:numCache>
                <c:formatCode>_-* #,##0_-;\-* #,##0_-;_-* "-"??_-;_-@_-</c:formatCode>
                <c:ptCount val="22"/>
                <c:pt idx="0">
                  <c:v>116921.87999999999</c:v>
                </c:pt>
                <c:pt idx="1">
                  <c:v>136121.60000000003</c:v>
                </c:pt>
                <c:pt idx="2">
                  <c:v>138256.39999999997</c:v>
                </c:pt>
                <c:pt idx="3">
                  <c:v>72094.039999999979</c:v>
                </c:pt>
                <c:pt idx="4">
                  <c:v>146252.75999999998</c:v>
                </c:pt>
                <c:pt idx="5">
                  <c:v>85605.200000000012</c:v>
                </c:pt>
                <c:pt idx="6">
                  <c:v>64694.04</c:v>
                </c:pt>
                <c:pt idx="7">
                  <c:v>60884.399999999987</c:v>
                </c:pt>
                <c:pt idx="8">
                  <c:v>60720.359999999986</c:v>
                </c:pt>
                <c:pt idx="9">
                  <c:v>56876.399999999987</c:v>
                </c:pt>
                <c:pt idx="10">
                  <c:v>56905</c:v>
                </c:pt>
                <c:pt idx="11">
                  <c:v>67772.2</c:v>
                </c:pt>
                <c:pt idx="12">
                  <c:v>54736.04</c:v>
                </c:pt>
                <c:pt idx="13">
                  <c:v>72324.040000000023</c:v>
                </c:pt>
                <c:pt idx="14">
                  <c:v>67667.000000000029</c:v>
                </c:pt>
                <c:pt idx="15">
                  <c:v>71853.560000000012</c:v>
                </c:pt>
                <c:pt idx="16">
                  <c:v>86655.52</c:v>
                </c:pt>
                <c:pt idx="17">
                  <c:v>212869.8</c:v>
                </c:pt>
                <c:pt idx="18">
                  <c:v>388622.39999999985</c:v>
                </c:pt>
                <c:pt idx="19">
                  <c:v>386880.31999999989</c:v>
                </c:pt>
                <c:pt idx="20">
                  <c:v>386847.99999999988</c:v>
                </c:pt>
                <c:pt idx="21">
                  <c:v>365415.24000000005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7-4E73-AA81-2ED4AD61F963}"/>
            </c:ext>
          </c:extLst>
        </c:ser>
        <c:ser>
          <c:idx val="1"/>
          <c:order val="1"/>
          <c:tx>
            <c:strRef>
              <c:f>'School-Age Refugee Population'!$B$8</c:f>
              <c:strCache>
                <c:ptCount val="1"/>
                <c:pt idx="0">
                  <c:v>ECA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Population'!$C$8:$X$8</c:f>
              <c:numCache>
                <c:formatCode>_-* #,##0_-;\-* #,##0_-;_-* "-"??_-;_-@_-</c:formatCode>
                <c:ptCount val="22"/>
                <c:pt idx="0">
                  <c:v>807001.87999999966</c:v>
                </c:pt>
                <c:pt idx="1">
                  <c:v>857779.44000000029</c:v>
                </c:pt>
                <c:pt idx="2">
                  <c:v>825785.27999999968</c:v>
                </c:pt>
                <c:pt idx="3">
                  <c:v>689547.16000000027</c:v>
                </c:pt>
                <c:pt idx="4">
                  <c:v>600414.6</c:v>
                </c:pt>
                <c:pt idx="5">
                  <c:v>579573.76000000001</c:v>
                </c:pt>
                <c:pt idx="6">
                  <c:v>552271.08000000019</c:v>
                </c:pt>
                <c:pt idx="7">
                  <c:v>565598.52000000014</c:v>
                </c:pt>
                <c:pt idx="8">
                  <c:v>491580.32000000007</c:v>
                </c:pt>
                <c:pt idx="9">
                  <c:v>483050.6</c:v>
                </c:pt>
                <c:pt idx="10">
                  <c:v>461976.4800000001</c:v>
                </c:pt>
                <c:pt idx="11">
                  <c:v>458547.68</c:v>
                </c:pt>
                <c:pt idx="12">
                  <c:v>427400.83999999997</c:v>
                </c:pt>
                <c:pt idx="13">
                  <c:v>689516.52</c:v>
                </c:pt>
                <c:pt idx="14">
                  <c:v>849776.12000000023</c:v>
                </c:pt>
                <c:pt idx="15">
                  <c:v>992969.32</c:v>
                </c:pt>
                <c:pt idx="16">
                  <c:v>1039096.88</c:v>
                </c:pt>
                <c:pt idx="17">
                  <c:v>2119672.1200000006</c:v>
                </c:pt>
                <c:pt idx="18">
                  <c:v>2365405.4400000004</c:v>
                </c:pt>
                <c:pt idx="19">
                  <c:v>2455165.2399999998</c:v>
                </c:pt>
                <c:pt idx="20">
                  <c:v>2532343.52</c:v>
                </c:pt>
                <c:pt idx="21">
                  <c:v>3978533.2000000007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7-4E73-AA81-2ED4AD61F963}"/>
            </c:ext>
          </c:extLst>
        </c:ser>
        <c:ser>
          <c:idx val="2"/>
          <c:order val="2"/>
          <c:tx>
            <c:strRef>
              <c:f>'School-Age Refugee Population'!$B$9</c:f>
              <c:strCache>
                <c:ptCount val="1"/>
                <c:pt idx="0">
                  <c:v>LAC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Population'!$C$9:$X$9</c:f>
              <c:numCache>
                <c:formatCode>_-* #,##0_-;\-* #,##0_-;_-* "-"??_-;_-@_-</c:formatCode>
                <c:ptCount val="22"/>
                <c:pt idx="0">
                  <c:v>15024.640000000003</c:v>
                </c:pt>
                <c:pt idx="1">
                  <c:v>11197.079999999998</c:v>
                </c:pt>
                <c:pt idx="2">
                  <c:v>8708.1999999999989</c:v>
                </c:pt>
                <c:pt idx="3">
                  <c:v>10541.560000000001</c:v>
                </c:pt>
                <c:pt idx="4">
                  <c:v>13192.840000000004</c:v>
                </c:pt>
                <c:pt idx="5">
                  <c:v>12977.279999999997</c:v>
                </c:pt>
                <c:pt idx="6">
                  <c:v>24807.200000000008</c:v>
                </c:pt>
                <c:pt idx="7">
                  <c:v>22821.279999999999</c:v>
                </c:pt>
                <c:pt idx="8">
                  <c:v>31338.519999999997</c:v>
                </c:pt>
                <c:pt idx="9">
                  <c:v>34387.999999999985</c:v>
                </c:pt>
                <c:pt idx="10">
                  <c:v>25226.999999999993</c:v>
                </c:pt>
                <c:pt idx="11">
                  <c:v>17313.800000000007</c:v>
                </c:pt>
                <c:pt idx="12">
                  <c:v>17499.199999999997</c:v>
                </c:pt>
                <c:pt idx="13">
                  <c:v>19968.16</c:v>
                </c:pt>
                <c:pt idx="14">
                  <c:v>44842.24000000002</c:v>
                </c:pt>
                <c:pt idx="15">
                  <c:v>27777.839999999993</c:v>
                </c:pt>
                <c:pt idx="16">
                  <c:v>68695.360000000044</c:v>
                </c:pt>
                <c:pt idx="17">
                  <c:v>879243.32</c:v>
                </c:pt>
                <c:pt idx="18">
                  <c:v>1293127.04</c:v>
                </c:pt>
                <c:pt idx="19">
                  <c:v>1245774.0800000005</c:v>
                </c:pt>
                <c:pt idx="20">
                  <c:v>1351350.84</c:v>
                </c:pt>
                <c:pt idx="21">
                  <c:v>1646605.48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27-4E73-AA81-2ED4AD61F963}"/>
            </c:ext>
          </c:extLst>
        </c:ser>
        <c:ser>
          <c:idx val="3"/>
          <c:order val="3"/>
          <c:tx>
            <c:strRef>
              <c:f>'School-Age Refugee Population'!$B$10</c:f>
              <c:strCache>
                <c:ptCount val="1"/>
                <c:pt idx="0">
                  <c:v>MENA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Population'!$C$10:$X$10</c:f>
              <c:numCache>
                <c:formatCode>_-* #,##0_-;\-* #,##0_-;_-* "-"??_-;_-@_-</c:formatCode>
                <c:ptCount val="22"/>
                <c:pt idx="0">
                  <c:v>712754.36</c:v>
                </c:pt>
                <c:pt idx="1">
                  <c:v>518444.92</c:v>
                </c:pt>
                <c:pt idx="2">
                  <c:v>429233.08</c:v>
                </c:pt>
                <c:pt idx="3">
                  <c:v>451883.47999999992</c:v>
                </c:pt>
                <c:pt idx="4">
                  <c:v>406738.71999999991</c:v>
                </c:pt>
                <c:pt idx="5">
                  <c:v>409533.79999999993</c:v>
                </c:pt>
                <c:pt idx="6">
                  <c:v>988011.72000000009</c:v>
                </c:pt>
                <c:pt idx="7">
                  <c:v>862582.79999999993</c:v>
                </c:pt>
                <c:pt idx="8">
                  <c:v>845444.52</c:v>
                </c:pt>
                <c:pt idx="9">
                  <c:v>845858.24000000011</c:v>
                </c:pt>
                <c:pt idx="10">
                  <c:v>729120.91999999993</c:v>
                </c:pt>
                <c:pt idx="11">
                  <c:v>694312.95999999996</c:v>
                </c:pt>
                <c:pt idx="12">
                  <c:v>988557.36</c:v>
                </c:pt>
                <c:pt idx="13">
                  <c:v>1300853.0799999998</c:v>
                </c:pt>
                <c:pt idx="14">
                  <c:v>1194836</c:v>
                </c:pt>
                <c:pt idx="15">
                  <c:v>1150386.1599999999</c:v>
                </c:pt>
                <c:pt idx="16">
                  <c:v>1241538.3600000001</c:v>
                </c:pt>
                <c:pt idx="17">
                  <c:v>1216599.6000000001</c:v>
                </c:pt>
                <c:pt idx="18">
                  <c:v>1204616.2</c:v>
                </c:pt>
                <c:pt idx="19">
                  <c:v>1114423.6399999999</c:v>
                </c:pt>
                <c:pt idx="20">
                  <c:v>1106645.6400000001</c:v>
                </c:pt>
                <c:pt idx="21">
                  <c:v>1932851.32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27-4E73-AA81-2ED4AD61F963}"/>
            </c:ext>
          </c:extLst>
        </c:ser>
        <c:ser>
          <c:idx val="4"/>
          <c:order val="4"/>
          <c:tx>
            <c:strRef>
              <c:f>'School-Age Refugee Population'!$B$11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Population'!$C$11:$X$11</c:f>
              <c:numCache>
                <c:formatCode>_-* #,##0_-;\-* #,##0_-;_-* "-"??_-;_-@_-</c:formatCode>
                <c:ptCount val="22"/>
                <c:pt idx="0">
                  <c:v>347751.04</c:v>
                </c:pt>
                <c:pt idx="1">
                  <c:v>340230.72000000003</c:v>
                </c:pt>
                <c:pt idx="2">
                  <c:v>312977.27999999997</c:v>
                </c:pt>
                <c:pt idx="3">
                  <c:v>273005.12</c:v>
                </c:pt>
                <c:pt idx="4">
                  <c:v>178841.52</c:v>
                </c:pt>
                <c:pt idx="5">
                  <c:v>365771.2</c:v>
                </c:pt>
                <c:pt idx="6">
                  <c:v>122846.88</c:v>
                </c:pt>
                <c:pt idx="7">
                  <c:v>120305.92</c:v>
                </c:pt>
                <c:pt idx="8">
                  <c:v>118643.32</c:v>
                </c:pt>
                <c:pt idx="9">
                  <c:v>94987.92</c:v>
                </c:pt>
                <c:pt idx="10">
                  <c:v>103223.64</c:v>
                </c:pt>
                <c:pt idx="11">
                  <c:v>96923.64</c:v>
                </c:pt>
                <c:pt idx="12">
                  <c:v>117942.40000000001</c:v>
                </c:pt>
                <c:pt idx="13">
                  <c:v>149844.28</c:v>
                </c:pt>
                <c:pt idx="14">
                  <c:v>181972</c:v>
                </c:pt>
                <c:pt idx="15">
                  <c:v>229840.64000000001</c:v>
                </c:pt>
                <c:pt idx="16">
                  <c:v>347673.92000000004</c:v>
                </c:pt>
                <c:pt idx="17">
                  <c:v>340400.88</c:v>
                </c:pt>
                <c:pt idx="18">
                  <c:v>445403.83999999997</c:v>
                </c:pt>
                <c:pt idx="19">
                  <c:v>443599.44</c:v>
                </c:pt>
                <c:pt idx="20">
                  <c:v>543876.20000000007</c:v>
                </c:pt>
                <c:pt idx="21">
                  <c:v>143230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27-4E73-AA81-2ED4AD61F963}"/>
            </c:ext>
          </c:extLst>
        </c:ser>
        <c:ser>
          <c:idx val="5"/>
          <c:order val="5"/>
          <c:tx>
            <c:strRef>
              <c:f>'School-Age Refugee Population'!$B$12</c:f>
              <c:strCache>
                <c:ptCount val="1"/>
                <c:pt idx="0">
                  <c:v>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Population'!$C$12:$X$12</c:f>
              <c:numCache>
                <c:formatCode>_-* #,##0_-;\-* #,##0_-;_-* "-"??_-;_-@_-</c:formatCode>
                <c:ptCount val="22"/>
                <c:pt idx="0">
                  <c:v>697345</c:v>
                </c:pt>
                <c:pt idx="1">
                  <c:v>575145.96</c:v>
                </c:pt>
                <c:pt idx="2">
                  <c:v>521289.4</c:v>
                </c:pt>
                <c:pt idx="3">
                  <c:v>453741.88</c:v>
                </c:pt>
                <c:pt idx="4">
                  <c:v>44063.76</c:v>
                </c:pt>
                <c:pt idx="5">
                  <c:v>45066.48</c:v>
                </c:pt>
                <c:pt idx="6">
                  <c:v>413985.76</c:v>
                </c:pt>
                <c:pt idx="7">
                  <c:v>366244.04</c:v>
                </c:pt>
                <c:pt idx="8">
                  <c:v>368013.48</c:v>
                </c:pt>
                <c:pt idx="9">
                  <c:v>766240.48</c:v>
                </c:pt>
                <c:pt idx="10">
                  <c:v>679777</c:v>
                </c:pt>
                <c:pt idx="11">
                  <c:v>661971</c:v>
                </c:pt>
                <c:pt idx="12">
                  <c:v>695568</c:v>
                </c:pt>
                <c:pt idx="13">
                  <c:v>751117</c:v>
                </c:pt>
                <c:pt idx="14">
                  <c:v>775614</c:v>
                </c:pt>
                <c:pt idx="15">
                  <c:v>557492</c:v>
                </c:pt>
                <c:pt idx="16">
                  <c:v>849708</c:v>
                </c:pt>
                <c:pt idx="17">
                  <c:v>883175</c:v>
                </c:pt>
                <c:pt idx="18">
                  <c:v>866879</c:v>
                </c:pt>
                <c:pt idx="19">
                  <c:v>888958</c:v>
                </c:pt>
                <c:pt idx="20">
                  <c:v>880901</c:v>
                </c:pt>
                <c:pt idx="21">
                  <c:v>939331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27-4E73-AA81-2ED4AD61F963}"/>
            </c:ext>
          </c:extLst>
        </c:ser>
        <c:ser>
          <c:idx val="6"/>
          <c:order val="6"/>
          <c:tx>
            <c:strRef>
              <c:f>'School-Age Refugee Population'!$B$13</c:f>
              <c:strCache>
                <c:ptCount val="1"/>
                <c:pt idx="0">
                  <c:v>SSA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'School-Age Refugee Population'!$C$6:$X$6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Population'!$C$13:$X$13</c:f>
              <c:numCache>
                <c:formatCode>_-* #,##0_-;\-* #,##0_-;_-* "-"??_-;_-@_-</c:formatCode>
                <c:ptCount val="22"/>
                <c:pt idx="0">
                  <c:v>707431.84</c:v>
                </c:pt>
                <c:pt idx="1">
                  <c:v>800023.11999999988</c:v>
                </c:pt>
                <c:pt idx="2">
                  <c:v>819254.68000000017</c:v>
                </c:pt>
                <c:pt idx="3">
                  <c:v>841833.64</c:v>
                </c:pt>
                <c:pt idx="4">
                  <c:v>788973.79999999993</c:v>
                </c:pt>
                <c:pt idx="5">
                  <c:v>847187.68</c:v>
                </c:pt>
                <c:pt idx="6">
                  <c:v>812119.96</c:v>
                </c:pt>
                <c:pt idx="7">
                  <c:v>794340.12000000011</c:v>
                </c:pt>
                <c:pt idx="8">
                  <c:v>762728.12</c:v>
                </c:pt>
                <c:pt idx="9">
                  <c:v>876678.92</c:v>
                </c:pt>
                <c:pt idx="10">
                  <c:v>1133845.9200000002</c:v>
                </c:pt>
                <c:pt idx="11">
                  <c:v>1212239.04</c:v>
                </c:pt>
                <c:pt idx="12">
                  <c:v>1310081.24</c:v>
                </c:pt>
                <c:pt idx="13">
                  <c:v>1643079.7600000002</c:v>
                </c:pt>
                <c:pt idx="14">
                  <c:v>2132674.92</c:v>
                </c:pt>
                <c:pt idx="15">
                  <c:v>2068173.32</c:v>
                </c:pt>
                <c:pt idx="16">
                  <c:v>2527556.2400000002</c:v>
                </c:pt>
                <c:pt idx="17">
                  <c:v>2691337.8800000004</c:v>
                </c:pt>
                <c:pt idx="18">
                  <c:v>3014250.4</c:v>
                </c:pt>
                <c:pt idx="19">
                  <c:v>2989153.1999999997</c:v>
                </c:pt>
                <c:pt idx="20">
                  <c:v>3245518.64</c:v>
                </c:pt>
                <c:pt idx="21">
                  <c:v>3245768.0799999996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27-4E73-AA81-2ED4AD61F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508656"/>
        <c:axId val="1795795039"/>
      </c:areaChart>
      <c:catAx>
        <c:axId val="108550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1795795039"/>
        <c:crosses val="autoZero"/>
        <c:auto val="1"/>
        <c:lblAlgn val="ctr"/>
        <c:lblOffset val="100"/>
        <c:noMultiLvlLbl val="0"/>
      </c:catAx>
      <c:valAx>
        <c:axId val="17957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108550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itka Display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'School-Age Refugee Population'!$B$16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'School-Age Refugee Population'!$C$15:$X$15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Population'!$C$16:$X$16</c:f>
              <c:numCache>
                <c:formatCode>_-* #,##0_-;\-* #,##0_-;_-* "-"??_-;_-@_-</c:formatCode>
                <c:ptCount val="22"/>
                <c:pt idx="0">
                  <c:v>331495.24</c:v>
                </c:pt>
                <c:pt idx="1">
                  <c:v>367270.88000000006</c:v>
                </c:pt>
                <c:pt idx="2">
                  <c:v>349840.16000000003</c:v>
                </c:pt>
                <c:pt idx="3">
                  <c:v>382449.32</c:v>
                </c:pt>
                <c:pt idx="4">
                  <c:v>393289.68000000005</c:v>
                </c:pt>
                <c:pt idx="5">
                  <c:v>420487.32</c:v>
                </c:pt>
                <c:pt idx="6">
                  <c:v>849751.76</c:v>
                </c:pt>
                <c:pt idx="7">
                  <c:v>724665.48</c:v>
                </c:pt>
                <c:pt idx="8">
                  <c:v>691592</c:v>
                </c:pt>
                <c:pt idx="9">
                  <c:v>765366.55999999994</c:v>
                </c:pt>
                <c:pt idx="10">
                  <c:v>868814.6</c:v>
                </c:pt>
                <c:pt idx="11">
                  <c:v>872636.6</c:v>
                </c:pt>
                <c:pt idx="12">
                  <c:v>838836.08000000007</c:v>
                </c:pt>
                <c:pt idx="13">
                  <c:v>1170549.1200000001</c:v>
                </c:pt>
                <c:pt idx="14">
                  <c:v>1352559.12</c:v>
                </c:pt>
                <c:pt idx="15">
                  <c:v>1523415</c:v>
                </c:pt>
                <c:pt idx="16">
                  <c:v>2007095</c:v>
                </c:pt>
                <c:pt idx="17">
                  <c:v>2136552.8000000003</c:v>
                </c:pt>
                <c:pt idx="18">
                  <c:v>2162798</c:v>
                </c:pt>
                <c:pt idx="19">
                  <c:v>2153588</c:v>
                </c:pt>
                <c:pt idx="20">
                  <c:v>2383550</c:v>
                </c:pt>
                <c:pt idx="21">
                  <c:v>2359093.84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6-4E07-9ECC-B04693EE55D6}"/>
            </c:ext>
          </c:extLst>
        </c:ser>
        <c:ser>
          <c:idx val="1"/>
          <c:order val="1"/>
          <c:tx>
            <c:strRef>
              <c:f>'School-Age Refugee Population'!$B$17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'School-Age Refugee Population'!$C$15:$X$15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Population'!$C$17:$X$17</c:f>
              <c:numCache>
                <c:formatCode>_-* #,##0_-;\-* #,##0_-;_-* "-"??_-;_-@_-</c:formatCode>
                <c:ptCount val="22"/>
                <c:pt idx="0">
                  <c:v>1775753.8800000001</c:v>
                </c:pt>
                <c:pt idx="1">
                  <c:v>1512077.52</c:v>
                </c:pt>
                <c:pt idx="2">
                  <c:v>1406229.12</c:v>
                </c:pt>
                <c:pt idx="3">
                  <c:v>1308754.8799999997</c:v>
                </c:pt>
                <c:pt idx="4">
                  <c:v>783848.6</c:v>
                </c:pt>
                <c:pt idx="5">
                  <c:v>808087.04000000004</c:v>
                </c:pt>
                <c:pt idx="6">
                  <c:v>1281458.5599999998</c:v>
                </c:pt>
                <c:pt idx="7">
                  <c:v>1188923.8000000003</c:v>
                </c:pt>
                <c:pt idx="8">
                  <c:v>1147082.6800000002</c:v>
                </c:pt>
                <c:pt idx="9">
                  <c:v>1615624.32</c:v>
                </c:pt>
                <c:pt idx="10">
                  <c:v>1563753.3200000003</c:v>
                </c:pt>
                <c:pt idx="11">
                  <c:v>1565753.6400000001</c:v>
                </c:pt>
                <c:pt idx="12">
                  <c:v>1981079.2399999998</c:v>
                </c:pt>
                <c:pt idx="13">
                  <c:v>2233288.2799999993</c:v>
                </c:pt>
                <c:pt idx="14">
                  <c:v>2264291.7200000002</c:v>
                </c:pt>
                <c:pt idx="15">
                  <c:v>2120088.8800000004</c:v>
                </c:pt>
                <c:pt idx="16">
                  <c:v>2416542.16</c:v>
                </c:pt>
                <c:pt idx="17">
                  <c:v>2453386.8400000003</c:v>
                </c:pt>
                <c:pt idx="18">
                  <c:v>2935540.32</c:v>
                </c:pt>
                <c:pt idx="19">
                  <c:v>2911233.9199999995</c:v>
                </c:pt>
                <c:pt idx="20">
                  <c:v>2912282.8400000003</c:v>
                </c:pt>
                <c:pt idx="21">
                  <c:v>3828496.96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6-4E07-9ECC-B04693EE55D6}"/>
            </c:ext>
          </c:extLst>
        </c:ser>
        <c:ser>
          <c:idx val="2"/>
          <c:order val="2"/>
          <c:tx>
            <c:strRef>
              <c:f>'School-Age Refugee Population'!$B$18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'School-Age Refugee Population'!$C$15:$X$15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Population'!$C$18:$X$18</c:f>
              <c:numCache>
                <c:formatCode>_-* #,##0_-;\-* #,##0_-;_-* "-"??_-;_-@_-</c:formatCode>
                <c:ptCount val="22"/>
                <c:pt idx="0">
                  <c:v>247790.91999999998</c:v>
                </c:pt>
                <c:pt idx="1">
                  <c:v>257633.6</c:v>
                </c:pt>
                <c:pt idx="2">
                  <c:v>247772.20000000004</c:v>
                </c:pt>
                <c:pt idx="3">
                  <c:v>151101.75999999998</c:v>
                </c:pt>
                <c:pt idx="4">
                  <c:v>222836.64</c:v>
                </c:pt>
                <c:pt idx="5">
                  <c:v>165831.40000000005</c:v>
                </c:pt>
                <c:pt idx="6">
                  <c:v>182288.76000000007</c:v>
                </c:pt>
                <c:pt idx="7">
                  <c:v>202880.96000000002</c:v>
                </c:pt>
                <c:pt idx="8">
                  <c:v>233860.16000000006</c:v>
                </c:pt>
                <c:pt idx="9">
                  <c:v>189480.52</c:v>
                </c:pt>
                <c:pt idx="10">
                  <c:v>189584</c:v>
                </c:pt>
                <c:pt idx="11">
                  <c:v>216751.2</c:v>
                </c:pt>
                <c:pt idx="12">
                  <c:v>245341.68</c:v>
                </c:pt>
                <c:pt idx="13">
                  <c:v>548822.48</c:v>
                </c:pt>
                <c:pt idx="14">
                  <c:v>736284.60000000009</c:v>
                </c:pt>
                <c:pt idx="15">
                  <c:v>343425.91999999987</c:v>
                </c:pt>
                <c:pt idx="16">
                  <c:v>424344.63999999996</c:v>
                </c:pt>
                <c:pt idx="17">
                  <c:v>2209379.3199999998</c:v>
                </c:pt>
                <c:pt idx="18">
                  <c:v>2705916.4</c:v>
                </c:pt>
                <c:pt idx="19">
                  <c:v>2693236.16</c:v>
                </c:pt>
                <c:pt idx="20">
                  <c:v>2870197.88</c:v>
                </c:pt>
                <c:pt idx="21">
                  <c:v>3593826.72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6-4E07-9ECC-B04693EE55D6}"/>
            </c:ext>
          </c:extLst>
        </c:ser>
        <c:ser>
          <c:idx val="3"/>
          <c:order val="3"/>
          <c:tx>
            <c:strRef>
              <c:f>'School-Age Refugee Population'!$B$19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'School-Age Refugee Population'!$C$15:$X$15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'School-Age Refugee Population'!$C$19:$X$19</c:f>
              <c:numCache>
                <c:formatCode>_-* #,##0_-;\-* #,##0_-;_-* "-"??_-;_-@_-</c:formatCode>
                <c:ptCount val="22"/>
                <c:pt idx="0">
                  <c:v>1049179.6000000001</c:v>
                </c:pt>
                <c:pt idx="1">
                  <c:v>1101622.8400000003</c:v>
                </c:pt>
                <c:pt idx="2">
                  <c:v>1050830.8399999999</c:v>
                </c:pt>
                <c:pt idx="3">
                  <c:v>949049.92000000027</c:v>
                </c:pt>
                <c:pt idx="4">
                  <c:v>776606.08</c:v>
                </c:pt>
                <c:pt idx="5">
                  <c:v>948497.63999999978</c:v>
                </c:pt>
                <c:pt idx="6">
                  <c:v>661838.56000000029</c:v>
                </c:pt>
                <c:pt idx="7">
                  <c:v>672539.8400000002</c:v>
                </c:pt>
                <c:pt idx="8">
                  <c:v>601445.80000000005</c:v>
                </c:pt>
                <c:pt idx="9">
                  <c:v>581964.1599999998</c:v>
                </c:pt>
                <c:pt idx="10">
                  <c:v>561798.04000000015</c:v>
                </c:pt>
                <c:pt idx="11">
                  <c:v>553616.88</c:v>
                </c:pt>
                <c:pt idx="12">
                  <c:v>546140.07999999996</c:v>
                </c:pt>
                <c:pt idx="13">
                  <c:v>673912.95999999973</c:v>
                </c:pt>
                <c:pt idx="14">
                  <c:v>894111.84000000008</c:v>
                </c:pt>
                <c:pt idx="15">
                  <c:v>1111121.0399999998</c:v>
                </c:pt>
                <c:pt idx="16">
                  <c:v>1312487.4800000007</c:v>
                </c:pt>
                <c:pt idx="17">
                  <c:v>1513700.6400000011</c:v>
                </c:pt>
                <c:pt idx="18">
                  <c:v>1743601.5999999999</c:v>
                </c:pt>
                <c:pt idx="19">
                  <c:v>1735472.8399999999</c:v>
                </c:pt>
                <c:pt idx="20">
                  <c:v>1881453.1199999999</c:v>
                </c:pt>
                <c:pt idx="21">
                  <c:v>2466364.8000000003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C6-4E07-9ECC-B04693EE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37808"/>
        <c:axId val="234214304"/>
      </c:areaChart>
      <c:catAx>
        <c:axId val="13993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234214304"/>
        <c:crosses val="autoZero"/>
        <c:auto val="1"/>
        <c:lblAlgn val="ctr"/>
        <c:lblOffset val="100"/>
        <c:noMultiLvlLbl val="0"/>
      </c:catAx>
      <c:valAx>
        <c:axId val="2342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endParaRPr lang="en-US"/>
          </a:p>
        </c:txPr>
        <c:crossAx val="139937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itka Display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itka Display" pitchFamily="2" charset="0"/>
                <a:ea typeface="+mn-ea"/>
                <a:cs typeface="+mn-cs"/>
              </a:defRPr>
            </a:pPr>
            <a:r>
              <a:rPr lang="en-GB" b="1"/>
              <a:t>Aid</a:t>
            </a:r>
            <a:r>
              <a:rPr lang="en-GB" b="1" baseline="0"/>
              <a:t> for refugee education by recipient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09-4F33-952A-0D780A009B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09-4F33-952A-0D780A009B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09-4F33-952A-0D780A009B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09-4F33-952A-0D780A009B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09-4F33-952A-0D780A009B56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09-4F33-952A-0D780A009B56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09-4F33-952A-0D780A009B56}"/>
                </c:ext>
              </c:extLst>
            </c:dLbl>
            <c:dLbl>
              <c:idx val="2"/>
              <c:layout>
                <c:manualLayout>
                  <c:x val="-2.0135224104941009E-17"/>
                  <c:y val="2.53968253968253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09-4F33-952A-0D780A009B56}"/>
                </c:ext>
              </c:extLst>
            </c:dLbl>
            <c:dLbl>
              <c:idx val="3"/>
              <c:layout>
                <c:manualLayout>
                  <c:x val="-2.7693647923966763E-2"/>
                  <c:y val="-5.58659217877094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09-4F33-952A-0D780A009B56}"/>
                </c:ext>
              </c:extLst>
            </c:dLbl>
            <c:dLbl>
              <c:idx val="4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09-4F33-952A-0D780A009B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Sitka Display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'ODA for Refugee Situations'!$B$19:$B$23</c:f>
              <c:strCache>
                <c:ptCount val="5"/>
                <c:pt idx="0">
                  <c:v>Multilateral Organisations</c:v>
                </c:pt>
                <c:pt idx="1">
                  <c:v>Host Country Governments</c:v>
                </c:pt>
                <c:pt idx="2">
                  <c:v>NGOs and CSOs</c:v>
                </c:pt>
                <c:pt idx="3">
                  <c:v>Research/Private sector/PPP</c:v>
                </c:pt>
                <c:pt idx="4">
                  <c:v>Not classified</c:v>
                </c:pt>
              </c:strCache>
            </c:strRef>
          </c:cat>
          <c:val>
            <c:numRef>
              <c:f>'ODA for Refugee Situations'!$C$19:$C$23</c:f>
              <c:numCache>
                <c:formatCode>0.0</c:formatCode>
                <c:ptCount val="5"/>
                <c:pt idx="0">
                  <c:v>1643.4437133091603</c:v>
                </c:pt>
                <c:pt idx="1">
                  <c:v>291.18071390483703</c:v>
                </c:pt>
                <c:pt idx="2">
                  <c:v>215.36500175036451</c:v>
                </c:pt>
                <c:pt idx="3">
                  <c:v>16.395749731476396</c:v>
                </c:pt>
                <c:pt idx="4">
                  <c:v>463.51822706312362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09-4F33-952A-0D780A00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83610952231683"/>
          <c:w val="0.98062760731780052"/>
          <c:h val="9.458579044068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itka Display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itka Display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clusteredColumn" uniqueId="{E33DDF80-537A-4689-93BD-5CC7EE983AA4}">
          <cx:dataPt idx="2">
            <cx:spPr>
              <a:pattFill prst="pct60">
                <a:fgClr>
                  <a:srgbClr val="4472C4"/>
                </a:fgClr>
                <a:bgClr>
                  <a:sysClr val="window" lastClr="FFFFFF"/>
                </a:bgClr>
              </a:pattFill>
            </cx:spPr>
          </cx:dataPt>
          <cx:dataId val="0"/>
          <cx:layoutPr>
            <cx:aggregation/>
          </cx:layoutPr>
          <cx:axisId val="1"/>
        </cx:series>
        <cx:series layoutId="paretoLine" ownerIdx="0" uniqueId="{2A9DA65D-829D-42B9-8193-41AA4DEDC29D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itka Display" pitchFamily="2" charset="0"/>
                <a:ea typeface="Sitka Display" pitchFamily="2" charset="0"/>
                <a:cs typeface="Sitka Display" pitchFamily="2" charset="0"/>
              </a:defRPr>
            </a:pPr>
            <a:endParaRPr lang="en-GB" sz="1100">
              <a:latin typeface="Sitka Display" pitchFamily="2" charset="0"/>
            </a:endParaRPr>
          </a:p>
        </cx:txPr>
      </cx:axis>
      <cx:axis id="1">
        <cx:valScaling/>
        <cx:title>
          <cx:tx>
            <cx:txData>
              <cx:v>USD millions (2021)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USD millions (2021)</a:t>
              </a:r>
            </a:p>
          </cx:txPr>
        </cx:title>
        <cx:majorGridlines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itka Display" pitchFamily="2" charset="0"/>
                <a:ea typeface="Sitka Display" pitchFamily="2" charset="0"/>
                <a:cs typeface="Sitka Display" pitchFamily="2" charset="0"/>
              </a:defRPr>
            </a:pPr>
            <a:endParaRPr lang="en-GB" sz="1100">
              <a:latin typeface="Sitka Display" pitchFamily="2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itka Display" pitchFamily="2" charset="0"/>
                <a:ea typeface="Sitka Display" pitchFamily="2" charset="0"/>
                <a:cs typeface="Sitka Display" pitchFamily="2" charset="0"/>
              </a:defRPr>
            </a:pPr>
            <a:endParaRPr lang="en-GB" sz="1100">
              <a:latin typeface="Sitka Display" pitchFamily="2" charset="0"/>
            </a:endParaRPr>
          </a:p>
        </cx:txPr>
      </cx:axis>
    </cx:plotArea>
  </cx:chart>
  <cx:spPr>
    <a:ln>
      <a:solidFill>
        <a:schemeClr val="bg1">
          <a:lumMod val="8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442941</xdr:colOff>
      <xdr:row>2</xdr:row>
      <xdr:rowOff>72026</xdr:rowOff>
    </xdr:from>
    <xdr:to>
      <xdr:col>9</xdr:col>
      <xdr:colOff>602400</xdr:colOff>
      <xdr:row>20</xdr:row>
      <xdr:rowOff>113600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AD591B-10A6-4FC8-8B3C-23815CB88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45315</xdr:colOff>
      <xdr:row>2</xdr:row>
      <xdr:rowOff>80682</xdr:rowOff>
    </xdr:from>
    <xdr:to>
      <xdr:col>13</xdr:col>
      <xdr:colOff>861068</xdr:colOff>
      <xdr:row>20</xdr:row>
      <xdr:rowOff>117896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454B24-AF60-2BAB-82D4-6A7DEEB5D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900360</xdr:colOff>
      <xdr:row>2</xdr:row>
      <xdr:rowOff>75411</xdr:rowOff>
    </xdr:from>
    <xdr:to>
      <xdr:col>17</xdr:col>
      <xdr:colOff>83343</xdr:colOff>
      <xdr:row>20</xdr:row>
      <xdr:rowOff>115658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FCF637-A932-0EFB-1001-84CCE8C9B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43631</xdr:colOff>
      <xdr:row>21</xdr:row>
      <xdr:rowOff>42772</xdr:rowOff>
    </xdr:from>
    <xdr:to>
      <xdr:col>5</xdr:col>
      <xdr:colOff>796834</xdr:colOff>
      <xdr:row>37</xdr:row>
      <xdr:rowOff>72750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68279-FA1C-41B8-AA55-A1562841E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858257</xdr:colOff>
      <xdr:row>21</xdr:row>
      <xdr:rowOff>41227</xdr:rowOff>
    </xdr:from>
    <xdr:to>
      <xdr:col>12</xdr:col>
      <xdr:colOff>309608</xdr:colOff>
      <xdr:row>37</xdr:row>
      <xdr:rowOff>42713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B53022-D550-4EB3-8A17-83A4492CB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</xdr:colOff>
      <xdr:row>4</xdr:row>
      <xdr:rowOff>41907</xdr:rowOff>
    </xdr:from>
    <xdr:to>
      <xdr:col>10</xdr:col>
      <xdr:colOff>592455</xdr:colOff>
      <xdr:row>24</xdr:row>
      <xdr:rowOff>156209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9A1E82-3666-4589-9DFB-20E616AE87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9965" y="803907"/>
              <a:ext cx="6711315" cy="39243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653890</xdr:colOff>
      <xdr:row>4</xdr:row>
      <xdr:rowOff>68103</xdr:rowOff>
    </xdr:from>
    <xdr:to>
      <xdr:col>8</xdr:col>
      <xdr:colOff>609600</xdr:colOff>
      <xdr:row>24</xdr:row>
      <xdr:rowOff>76199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8F47F2C-8903-4DDC-8B27-A55A77E03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0996e87ec8f7262f/Consultancy%20Work/World%20Bank%20-%20FCV%20education%20work%20(Dec%2021-%20)/-%20Edu%20Fin%20Work/-%20Final%20Dataset%5eJ%20accompanying%20note%5eJ%20report%20write%20up/ENROLMENT%20NUMBERS%20(RBH%20ANALYSIS)%20global%20education%20data_template_reporting_v2023-%2029.01.24.xlsm" TargetMode="External"/><Relationship Id="rId2" Type="http://schemas.microsoft.com/office/2019/04/relationships/externalLinkLongPath" Target="ENROLMENT%20NUMBERS%20(RBH%20ANALYSIS)%20global%20education%20data_template_reporting_v2023-%2029.01.24.xlsm?48E76EC1" TargetMode="External"/><Relationship Id="rId1" Type="http://schemas.openxmlformats.org/officeDocument/2006/relationships/externalLinkPath" Target="file:///\\48E76EC1\ENROLMENT%20NUMBERS%20(RBH%20ANALYSIS)%20global%20education%20data_template_reporting_v2023-%2029.01.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OST AND REFUGEE GERs"/>
      <sheetName val="Primary+Secondary"/>
      <sheetName val="UIS data - host country prim"/>
      <sheetName val="UIS data - host country sec"/>
      <sheetName val="ISO"/>
      <sheetName val="OG SHEETS on ref GER (UNHCR)-&gt;"/>
      <sheetName val="Language"/>
      <sheetName val="Instructions (EN)"/>
      <sheetName val="Instructions (FR)"/>
      <sheetName val="Quick Guide (EN)"/>
      <sheetName val="Quick Guide"/>
      <sheetName val="Analysis"/>
      <sheetName val="Graphs 1"/>
      <sheetName val="Graphs 2"/>
      <sheetName val="Graphs 3"/>
      <sheetName val="Quick Guide (FR)"/>
      <sheetName val="Tertiary"/>
      <sheetName val="GCR"/>
      <sheetName val="Activities"/>
      <sheetName val="Check-list (EN)"/>
      <sheetName val="Check-list (FR)"/>
      <sheetName val="Voc_Multilangue"/>
      <sheetName val="ENROLMENT NUMBERS (RBH ANALYSIS"/>
    </sheetNames>
    <sheetDataSet>
      <sheetData sheetId="0" refreshError="1"/>
      <sheetData sheetId="1"/>
      <sheetData sheetId="2">
        <row r="6">
          <cell r="K6">
            <v>110.00751</v>
          </cell>
        </row>
      </sheetData>
      <sheetData sheetId="3">
        <row r="6">
          <cell r="K6">
            <v>57.039299999999997</v>
          </cell>
        </row>
      </sheetData>
      <sheetData sheetId="4">
        <row r="2">
          <cell r="A2" t="str">
            <v>Aruba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0FE9-AC6C-45E2-8F4F-E849320FC166}">
  <dimension ref="B2:V31"/>
  <sheetViews>
    <sheetView tabSelected="1" zoomScale="80" zoomScaleNormal="80" workbookViewId="0">
      <selection activeCell="D7" sqref="D7"/>
    </sheetView>
  </sheetViews>
  <sheetFormatPr defaultRowHeight="15" x14ac:dyDescent="0.25"/>
  <cols>
    <col min="2" max="2" width="31.42578125" customWidth="1"/>
    <col min="3" max="5" width="22" customWidth="1"/>
    <col min="6" max="6" width="19.5703125" bestFit="1" customWidth="1"/>
    <col min="13" max="13" width="19.140625" bestFit="1" customWidth="1"/>
    <col min="14" max="16" width="17.5703125" customWidth="1"/>
  </cols>
  <sheetData>
    <row r="2" spans="2:4" s="33" customFormat="1" x14ac:dyDescent="0.25">
      <c r="B2" s="32" t="s">
        <v>444</v>
      </c>
    </row>
    <row r="3" spans="2:4" x14ac:dyDescent="0.25">
      <c r="B3" s="1"/>
    </row>
    <row r="5" spans="2:4" x14ac:dyDescent="0.25">
      <c r="B5" s="1" t="s">
        <v>452</v>
      </c>
    </row>
    <row r="6" spans="2:4" x14ac:dyDescent="0.25">
      <c r="B6" s="30" t="s">
        <v>163</v>
      </c>
      <c r="C6" s="30" t="s">
        <v>248</v>
      </c>
    </row>
    <row r="7" spans="2:4" x14ac:dyDescent="0.25">
      <c r="B7" s="10" t="s">
        <v>325</v>
      </c>
      <c r="C7" s="46">
        <v>2629.9034057589606</v>
      </c>
    </row>
    <row r="8" spans="2:4" x14ac:dyDescent="0.25">
      <c r="B8" s="10" t="s">
        <v>321</v>
      </c>
      <c r="C8" s="46">
        <v>419.90122142519516</v>
      </c>
    </row>
    <row r="9" spans="2:4" x14ac:dyDescent="0.25">
      <c r="B9" s="10" t="s">
        <v>432</v>
      </c>
      <c r="C9" s="46">
        <v>1753</v>
      </c>
      <c r="D9" s="35"/>
    </row>
    <row r="11" spans="2:4" x14ac:dyDescent="0.25">
      <c r="B11" s="47" t="s">
        <v>323</v>
      </c>
      <c r="C11" s="48">
        <f>SUM(C7:C9)</f>
        <v>4802.8046271841558</v>
      </c>
    </row>
    <row r="12" spans="2:4" ht="17.25" x14ac:dyDescent="0.4">
      <c r="B12" s="4"/>
      <c r="C12" s="45"/>
    </row>
    <row r="13" spans="2:4" ht="17.25" x14ac:dyDescent="0.4">
      <c r="B13" s="4"/>
      <c r="C13" s="45"/>
    </row>
    <row r="14" spans="2:4" x14ac:dyDescent="0.25">
      <c r="B14" s="16" t="s">
        <v>453</v>
      </c>
      <c r="C14" s="31"/>
    </row>
    <row r="15" spans="2:4" x14ac:dyDescent="0.25">
      <c r="B15" s="30" t="s">
        <v>357</v>
      </c>
      <c r="C15" s="30" t="s">
        <v>340</v>
      </c>
      <c r="D15" s="30" t="s">
        <v>346</v>
      </c>
    </row>
    <row r="16" spans="2:4" x14ac:dyDescent="0.25">
      <c r="B16" s="10" t="s">
        <v>327</v>
      </c>
      <c r="C16" s="9">
        <v>0.87182513188830946</v>
      </c>
      <c r="D16" s="9">
        <v>0.28999999999999998</v>
      </c>
    </row>
    <row r="17" spans="2:22" x14ac:dyDescent="0.25">
      <c r="B17" s="10" t="s">
        <v>326</v>
      </c>
      <c r="C17" s="9">
        <v>0.12297784969824896</v>
      </c>
      <c r="D17" s="9">
        <v>0.59</v>
      </c>
    </row>
    <row r="18" spans="2:22" x14ac:dyDescent="0.25">
      <c r="B18" s="10" t="s">
        <v>333</v>
      </c>
      <c r="C18" s="9">
        <v>5.0472931302616578E-3</v>
      </c>
      <c r="D18" s="9">
        <v>7.0000000000000007E-2</v>
      </c>
    </row>
    <row r="19" spans="2:22" x14ac:dyDescent="0.25">
      <c r="B19" s="10" t="s">
        <v>188</v>
      </c>
      <c r="C19" s="9">
        <v>0</v>
      </c>
      <c r="D19" s="9">
        <v>0.05</v>
      </c>
    </row>
    <row r="22" spans="2:22" x14ac:dyDescent="0.25">
      <c r="B22" s="1" t="s">
        <v>454</v>
      </c>
    </row>
    <row r="23" spans="2:22" x14ac:dyDescent="0.25">
      <c r="B23" s="30" t="s">
        <v>163</v>
      </c>
      <c r="C23" s="30" t="s">
        <v>352</v>
      </c>
      <c r="D23" s="30" t="s">
        <v>358</v>
      </c>
      <c r="E23" s="30" t="s">
        <v>356</v>
      </c>
    </row>
    <row r="24" spans="2:22" x14ac:dyDescent="0.25">
      <c r="B24" s="10" t="s">
        <v>325</v>
      </c>
      <c r="C24" s="28">
        <v>2.6299034057589608</v>
      </c>
      <c r="D24" s="28"/>
      <c r="E24" s="10"/>
      <c r="V24" s="1"/>
    </row>
    <row r="25" spans="2:22" x14ac:dyDescent="0.25">
      <c r="B25" s="10" t="s">
        <v>322</v>
      </c>
      <c r="C25" s="28">
        <v>1.7532308444202984</v>
      </c>
      <c r="D25" s="28"/>
      <c r="E25" s="10"/>
    </row>
    <row r="26" spans="2:22" x14ac:dyDescent="0.25">
      <c r="B26" s="10" t="s">
        <v>321</v>
      </c>
      <c r="C26" s="28">
        <v>0.41990122142519515</v>
      </c>
      <c r="D26" s="28"/>
      <c r="E26" s="10"/>
    </row>
    <row r="27" spans="2:22" x14ac:dyDescent="0.25">
      <c r="B27" s="66" t="s">
        <v>441</v>
      </c>
      <c r="C27" s="67"/>
      <c r="D27" s="67">
        <v>7.6607129870273658</v>
      </c>
      <c r="E27" s="68">
        <v>9.3000000000000007</v>
      </c>
    </row>
    <row r="28" spans="2:22" x14ac:dyDescent="0.25">
      <c r="B28" s="66" t="s">
        <v>442</v>
      </c>
      <c r="C28" s="67"/>
      <c r="D28" s="67">
        <v>1.6392870129726349</v>
      </c>
      <c r="E28" s="66"/>
    </row>
    <row r="30" spans="2:22" x14ac:dyDescent="0.25">
      <c r="B30" s="69" t="s">
        <v>455</v>
      </c>
    </row>
    <row r="31" spans="2:22" x14ac:dyDescent="0.25">
      <c r="B31" s="6" t="s">
        <v>443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5F82-3461-416F-85E7-0319A9ED822E}">
  <dimension ref="A1:X20"/>
  <sheetViews>
    <sheetView zoomScale="80" zoomScaleNormal="80" workbookViewId="0">
      <selection activeCell="B2" sqref="B2"/>
    </sheetView>
  </sheetViews>
  <sheetFormatPr defaultRowHeight="15" x14ac:dyDescent="0.25"/>
  <cols>
    <col min="2" max="2" width="28" bestFit="1" customWidth="1"/>
    <col min="3" max="3" width="16.42578125" bestFit="1" customWidth="1"/>
    <col min="4" max="23" width="13.28515625" bestFit="1" customWidth="1"/>
    <col min="24" max="25" width="14.28515625" bestFit="1" customWidth="1"/>
  </cols>
  <sheetData>
    <row r="1" spans="1:24" x14ac:dyDescent="0.25">
      <c r="C1" s="5"/>
      <c r="D1" s="5"/>
      <c r="J1" s="40"/>
      <c r="K1" s="41"/>
    </row>
    <row r="2" spans="1:24" s="56" customFormat="1" x14ac:dyDescent="0.25">
      <c r="A2" s="33"/>
      <c r="B2" s="57" t="s">
        <v>450</v>
      </c>
      <c r="L2" s="58"/>
    </row>
    <row r="3" spans="1:24" x14ac:dyDescent="0.25">
      <c r="C3" s="5"/>
      <c r="D3" s="5"/>
      <c r="J3" s="36"/>
    </row>
    <row r="4" spans="1:24" x14ac:dyDescent="0.25">
      <c r="B4" s="65" t="s">
        <v>446</v>
      </c>
    </row>
    <row r="5" spans="1:24" x14ac:dyDescent="0.25">
      <c r="J5" s="55"/>
      <c r="K5" s="55"/>
      <c r="L5" s="55"/>
      <c r="M5" s="55"/>
    </row>
    <row r="6" spans="1:24" x14ac:dyDescent="0.25">
      <c r="B6" s="49" t="s">
        <v>335</v>
      </c>
      <c r="C6" s="49">
        <v>2001</v>
      </c>
      <c r="D6" s="49">
        <v>2002</v>
      </c>
      <c r="E6" s="49">
        <v>2003</v>
      </c>
      <c r="F6" s="49">
        <v>2004</v>
      </c>
      <c r="G6" s="49">
        <v>2005</v>
      </c>
      <c r="H6" s="49">
        <v>2006</v>
      </c>
      <c r="I6" s="49">
        <v>2007</v>
      </c>
      <c r="J6" s="49">
        <v>2008</v>
      </c>
      <c r="K6" s="49">
        <v>2009</v>
      </c>
      <c r="L6" s="49">
        <v>2010</v>
      </c>
      <c r="M6" s="49">
        <v>2011</v>
      </c>
      <c r="N6" s="49">
        <v>2012</v>
      </c>
      <c r="O6" s="49">
        <v>2013</v>
      </c>
      <c r="P6" s="49">
        <v>2014</v>
      </c>
      <c r="Q6" s="49">
        <v>2015</v>
      </c>
      <c r="R6" s="49">
        <v>2016</v>
      </c>
      <c r="S6" s="49">
        <v>2017</v>
      </c>
      <c r="T6" s="49">
        <v>2018</v>
      </c>
      <c r="U6" s="49">
        <v>2019</v>
      </c>
      <c r="V6" s="49">
        <v>2020</v>
      </c>
      <c r="W6" s="49">
        <v>2021</v>
      </c>
      <c r="X6" s="49">
        <v>2022</v>
      </c>
    </row>
    <row r="7" spans="1:24" x14ac:dyDescent="0.25">
      <c r="B7" s="7" t="s">
        <v>330</v>
      </c>
      <c r="C7" s="8">
        <v>116921.87999999999</v>
      </c>
      <c r="D7" s="8">
        <v>136121.60000000003</v>
      </c>
      <c r="E7" s="8">
        <v>138256.39999999997</v>
      </c>
      <c r="F7" s="8">
        <v>72094.039999999979</v>
      </c>
      <c r="G7" s="8">
        <v>146252.75999999998</v>
      </c>
      <c r="H7" s="8">
        <v>85605.200000000012</v>
      </c>
      <c r="I7" s="8">
        <v>64694.04</v>
      </c>
      <c r="J7" s="8">
        <v>60884.399999999987</v>
      </c>
      <c r="K7" s="8">
        <v>60720.359999999986</v>
      </c>
      <c r="L7" s="8">
        <v>56876.399999999987</v>
      </c>
      <c r="M7" s="8">
        <v>56905</v>
      </c>
      <c r="N7" s="8">
        <v>67772.2</v>
      </c>
      <c r="O7" s="8">
        <v>54736.04</v>
      </c>
      <c r="P7" s="8">
        <v>72324.040000000023</v>
      </c>
      <c r="Q7" s="8">
        <v>67667.000000000029</v>
      </c>
      <c r="R7" s="8">
        <v>71853.560000000012</v>
      </c>
      <c r="S7" s="8">
        <v>86655.52</v>
      </c>
      <c r="T7" s="8">
        <v>212869.8</v>
      </c>
      <c r="U7" s="8">
        <v>388622.39999999985</v>
      </c>
      <c r="V7" s="8">
        <v>386880.31999999989</v>
      </c>
      <c r="W7" s="8">
        <v>386847.99999999988</v>
      </c>
      <c r="X7" s="8">
        <v>365415.24000000005</v>
      </c>
    </row>
    <row r="8" spans="1:24" x14ac:dyDescent="0.25">
      <c r="B8" s="7" t="s">
        <v>342</v>
      </c>
      <c r="C8" s="38">
        <v>807001.87999999966</v>
      </c>
      <c r="D8" s="38">
        <v>857779.44000000029</v>
      </c>
      <c r="E8" s="38">
        <v>825785.27999999968</v>
      </c>
      <c r="F8" s="38">
        <v>689547.16000000027</v>
      </c>
      <c r="G8" s="38">
        <v>600414.6</v>
      </c>
      <c r="H8" s="38">
        <v>579573.76000000001</v>
      </c>
      <c r="I8" s="38">
        <v>552271.08000000019</v>
      </c>
      <c r="J8" s="38">
        <v>565598.52000000014</v>
      </c>
      <c r="K8" s="38">
        <v>491580.32000000007</v>
      </c>
      <c r="L8" s="38">
        <v>483050.6</v>
      </c>
      <c r="M8" s="38">
        <v>461976.4800000001</v>
      </c>
      <c r="N8" s="38">
        <v>458547.68</v>
      </c>
      <c r="O8" s="38">
        <v>427400.83999999997</v>
      </c>
      <c r="P8" s="38">
        <v>689516.52</v>
      </c>
      <c r="Q8" s="38">
        <v>849776.12000000023</v>
      </c>
      <c r="R8" s="38">
        <v>992969.32</v>
      </c>
      <c r="S8" s="38">
        <v>1039096.88</v>
      </c>
      <c r="T8" s="38">
        <v>2119672.1200000006</v>
      </c>
      <c r="U8" s="38">
        <v>2365405.4400000004</v>
      </c>
      <c r="V8" s="38">
        <v>2455165.2399999998</v>
      </c>
      <c r="W8" s="38">
        <v>2532343.52</v>
      </c>
      <c r="X8" s="38">
        <v>3978533.2000000007</v>
      </c>
    </row>
    <row r="9" spans="1:24" x14ac:dyDescent="0.25">
      <c r="B9" s="7" t="s">
        <v>331</v>
      </c>
      <c r="C9" s="38">
        <v>15024.640000000003</v>
      </c>
      <c r="D9" s="38">
        <v>11197.079999999998</v>
      </c>
      <c r="E9" s="38">
        <v>8708.1999999999989</v>
      </c>
      <c r="F9" s="38">
        <v>10541.560000000001</v>
      </c>
      <c r="G9" s="38">
        <v>13192.840000000004</v>
      </c>
      <c r="H9" s="38">
        <v>12977.279999999997</v>
      </c>
      <c r="I9" s="38">
        <v>24807.200000000008</v>
      </c>
      <c r="J9" s="38">
        <v>22821.279999999999</v>
      </c>
      <c r="K9" s="38">
        <v>31338.519999999997</v>
      </c>
      <c r="L9" s="38">
        <v>34387.999999999985</v>
      </c>
      <c r="M9" s="38">
        <v>25226.999999999993</v>
      </c>
      <c r="N9" s="38">
        <v>17313.800000000007</v>
      </c>
      <c r="O9" s="38">
        <v>17499.199999999997</v>
      </c>
      <c r="P9" s="38">
        <v>19968.16</v>
      </c>
      <c r="Q9" s="38">
        <v>44842.24000000002</v>
      </c>
      <c r="R9" s="38">
        <v>27777.839999999993</v>
      </c>
      <c r="S9" s="38">
        <v>68695.360000000044</v>
      </c>
      <c r="T9" s="38">
        <v>879243.32</v>
      </c>
      <c r="U9" s="38">
        <v>1293127.04</v>
      </c>
      <c r="V9" s="38">
        <v>1245774.0800000005</v>
      </c>
      <c r="W9" s="38">
        <v>1351350.84</v>
      </c>
      <c r="X9" s="38">
        <v>1646605.48</v>
      </c>
    </row>
    <row r="10" spans="1:24" x14ac:dyDescent="0.25">
      <c r="B10" s="7" t="s">
        <v>332</v>
      </c>
      <c r="C10" s="8">
        <v>712754.36</v>
      </c>
      <c r="D10" s="8">
        <v>518444.92</v>
      </c>
      <c r="E10" s="8">
        <v>429233.08</v>
      </c>
      <c r="F10" s="8">
        <v>451883.47999999992</v>
      </c>
      <c r="G10" s="8">
        <v>406738.71999999991</v>
      </c>
      <c r="H10" s="8">
        <v>409533.79999999993</v>
      </c>
      <c r="I10" s="8">
        <v>988011.72000000009</v>
      </c>
      <c r="J10" s="8">
        <v>862582.79999999993</v>
      </c>
      <c r="K10" s="8">
        <v>845444.52</v>
      </c>
      <c r="L10" s="8">
        <v>845858.24000000011</v>
      </c>
      <c r="M10" s="8">
        <v>729120.91999999993</v>
      </c>
      <c r="N10" s="8">
        <v>694312.95999999996</v>
      </c>
      <c r="O10" s="8">
        <v>988557.36</v>
      </c>
      <c r="P10" s="8">
        <v>1300853.0799999998</v>
      </c>
      <c r="Q10" s="8">
        <v>1194836</v>
      </c>
      <c r="R10" s="8">
        <v>1150386.1599999999</v>
      </c>
      <c r="S10" s="8">
        <v>1241538.3600000001</v>
      </c>
      <c r="T10" s="8">
        <v>1216599.6000000001</v>
      </c>
      <c r="U10" s="8">
        <v>1204616.2</v>
      </c>
      <c r="V10" s="8">
        <v>1114423.6399999999</v>
      </c>
      <c r="W10" s="8">
        <v>1106645.6400000001</v>
      </c>
      <c r="X10" s="8">
        <v>1932851.32</v>
      </c>
    </row>
    <row r="11" spans="1:24" x14ac:dyDescent="0.25">
      <c r="B11" s="7" t="s">
        <v>171</v>
      </c>
      <c r="C11" s="38">
        <v>347751.04</v>
      </c>
      <c r="D11" s="38">
        <v>340230.72000000003</v>
      </c>
      <c r="E11" s="38">
        <v>312977.27999999997</v>
      </c>
      <c r="F11" s="38">
        <v>273005.12</v>
      </c>
      <c r="G11" s="38">
        <v>178841.52</v>
      </c>
      <c r="H11" s="38">
        <v>365771.2</v>
      </c>
      <c r="I11" s="38">
        <v>122846.88</v>
      </c>
      <c r="J11" s="38">
        <v>120305.92</v>
      </c>
      <c r="K11" s="38">
        <v>118643.32</v>
      </c>
      <c r="L11" s="38">
        <v>94987.92</v>
      </c>
      <c r="M11" s="38">
        <v>103223.64</v>
      </c>
      <c r="N11" s="38">
        <v>96923.64</v>
      </c>
      <c r="O11" s="38">
        <v>117942.40000000001</v>
      </c>
      <c r="P11" s="38">
        <v>149844.28</v>
      </c>
      <c r="Q11" s="38">
        <v>181972</v>
      </c>
      <c r="R11" s="38">
        <v>229840.64000000001</v>
      </c>
      <c r="S11" s="38">
        <v>347673.92000000004</v>
      </c>
      <c r="T11" s="38">
        <v>340400.88</v>
      </c>
      <c r="U11" s="38">
        <v>445403.83999999997</v>
      </c>
      <c r="V11" s="38">
        <v>443599.44</v>
      </c>
      <c r="W11" s="38">
        <v>543876.20000000007</v>
      </c>
      <c r="X11" s="38">
        <v>143230</v>
      </c>
    </row>
    <row r="12" spans="1:24" x14ac:dyDescent="0.25">
      <c r="B12" s="7" t="s">
        <v>389</v>
      </c>
      <c r="C12" s="38">
        <v>697345</v>
      </c>
      <c r="D12" s="38">
        <v>575145.96</v>
      </c>
      <c r="E12" s="38">
        <v>521289.4</v>
      </c>
      <c r="F12" s="38">
        <v>453741.88</v>
      </c>
      <c r="G12" s="38">
        <v>44063.76</v>
      </c>
      <c r="H12" s="38">
        <v>45066.48</v>
      </c>
      <c r="I12" s="38">
        <v>413985.76</v>
      </c>
      <c r="J12" s="38">
        <v>366244.04</v>
      </c>
      <c r="K12" s="38">
        <v>368013.48</v>
      </c>
      <c r="L12" s="38">
        <v>766240.48</v>
      </c>
      <c r="M12" s="38">
        <v>679777</v>
      </c>
      <c r="N12" s="38">
        <v>661971</v>
      </c>
      <c r="O12" s="38">
        <v>695568</v>
      </c>
      <c r="P12" s="38">
        <v>751117</v>
      </c>
      <c r="Q12" s="38">
        <v>775614</v>
      </c>
      <c r="R12" s="38">
        <v>557492</v>
      </c>
      <c r="S12" s="38">
        <v>849708</v>
      </c>
      <c r="T12" s="38">
        <v>883175</v>
      </c>
      <c r="U12" s="38">
        <v>866879</v>
      </c>
      <c r="V12" s="38">
        <v>888958</v>
      </c>
      <c r="W12" s="38">
        <v>880901</v>
      </c>
      <c r="X12" s="38">
        <v>939331</v>
      </c>
    </row>
    <row r="13" spans="1:24" x14ac:dyDescent="0.25">
      <c r="B13" s="7" t="s">
        <v>329</v>
      </c>
      <c r="C13" s="8">
        <v>707431.84</v>
      </c>
      <c r="D13" s="8">
        <v>800023.11999999988</v>
      </c>
      <c r="E13" s="8">
        <v>819254.68000000017</v>
      </c>
      <c r="F13" s="8">
        <v>841833.64</v>
      </c>
      <c r="G13" s="8">
        <v>788973.79999999993</v>
      </c>
      <c r="H13" s="8">
        <v>847187.68</v>
      </c>
      <c r="I13" s="8">
        <v>812119.96</v>
      </c>
      <c r="J13" s="8">
        <v>794340.12000000011</v>
      </c>
      <c r="K13" s="8">
        <v>762728.12</v>
      </c>
      <c r="L13" s="8">
        <v>876678.92</v>
      </c>
      <c r="M13" s="8">
        <v>1133845.9200000002</v>
      </c>
      <c r="N13" s="8">
        <v>1212239.04</v>
      </c>
      <c r="O13" s="8">
        <v>1310081.24</v>
      </c>
      <c r="P13" s="8">
        <v>1643079.7600000002</v>
      </c>
      <c r="Q13" s="8">
        <v>2132674.92</v>
      </c>
      <c r="R13" s="8">
        <v>2068173.32</v>
      </c>
      <c r="S13" s="8">
        <v>2527556.2400000002</v>
      </c>
      <c r="T13" s="8">
        <v>2691337.8800000004</v>
      </c>
      <c r="U13" s="8">
        <v>3014250.4</v>
      </c>
      <c r="V13" s="8">
        <v>2989153.1999999997</v>
      </c>
      <c r="W13" s="8">
        <v>3245518.64</v>
      </c>
      <c r="X13" s="8">
        <v>3245768.0799999996</v>
      </c>
    </row>
    <row r="15" spans="1:24" x14ac:dyDescent="0.25">
      <c r="B15" s="49" t="s">
        <v>390</v>
      </c>
      <c r="C15" s="49">
        <v>2001</v>
      </c>
      <c r="D15" s="49">
        <v>2002</v>
      </c>
      <c r="E15" s="49">
        <v>2003</v>
      </c>
      <c r="F15" s="49">
        <v>2004</v>
      </c>
      <c r="G15" s="49">
        <v>2005</v>
      </c>
      <c r="H15" s="49">
        <v>2006</v>
      </c>
      <c r="I15" s="49">
        <v>2007</v>
      </c>
      <c r="J15" s="49">
        <v>2008</v>
      </c>
      <c r="K15" s="49">
        <v>2009</v>
      </c>
      <c r="L15" s="49">
        <v>2010</v>
      </c>
      <c r="M15" s="49">
        <v>2011</v>
      </c>
      <c r="N15" s="49">
        <v>2012</v>
      </c>
      <c r="O15" s="49">
        <v>2013</v>
      </c>
      <c r="P15" s="49">
        <v>2014</v>
      </c>
      <c r="Q15" s="49">
        <v>2015</v>
      </c>
      <c r="R15" s="49">
        <v>2016</v>
      </c>
      <c r="S15" s="49">
        <v>2017</v>
      </c>
      <c r="T15" s="49">
        <v>2018</v>
      </c>
      <c r="U15" s="49">
        <v>2019</v>
      </c>
      <c r="V15" s="49">
        <v>2020</v>
      </c>
      <c r="W15" s="49">
        <v>2021</v>
      </c>
      <c r="X15" s="49">
        <v>2022</v>
      </c>
    </row>
    <row r="16" spans="1:24" x14ac:dyDescent="0.25">
      <c r="B16" s="7" t="s">
        <v>336</v>
      </c>
      <c r="C16" s="8">
        <v>331495.24</v>
      </c>
      <c r="D16" s="8">
        <v>367270.88000000006</v>
      </c>
      <c r="E16" s="8">
        <v>349840.16000000003</v>
      </c>
      <c r="F16" s="8">
        <v>382449.32</v>
      </c>
      <c r="G16" s="8">
        <v>393289.68000000005</v>
      </c>
      <c r="H16" s="8">
        <v>420487.32</v>
      </c>
      <c r="I16" s="8">
        <v>849751.76</v>
      </c>
      <c r="J16" s="8">
        <v>724665.48</v>
      </c>
      <c r="K16" s="8">
        <v>691592</v>
      </c>
      <c r="L16" s="8">
        <v>765366.55999999994</v>
      </c>
      <c r="M16" s="8">
        <v>868814.6</v>
      </c>
      <c r="N16" s="8">
        <v>872636.6</v>
      </c>
      <c r="O16" s="8">
        <v>838836.08000000007</v>
      </c>
      <c r="P16" s="8">
        <v>1170549.1200000001</v>
      </c>
      <c r="Q16" s="8">
        <v>1352559.12</v>
      </c>
      <c r="R16" s="8">
        <v>1523415</v>
      </c>
      <c r="S16" s="8">
        <v>2007095</v>
      </c>
      <c r="T16" s="8">
        <v>2136552.8000000003</v>
      </c>
      <c r="U16" s="8">
        <v>2162798</v>
      </c>
      <c r="V16" s="8">
        <v>2153588</v>
      </c>
      <c r="W16" s="8">
        <v>2383550</v>
      </c>
      <c r="X16" s="8">
        <v>2359093.84</v>
      </c>
    </row>
    <row r="17" spans="2:24" x14ac:dyDescent="0.25">
      <c r="B17" s="7" t="s">
        <v>338</v>
      </c>
      <c r="C17" s="38">
        <v>1775753.8800000001</v>
      </c>
      <c r="D17" s="38">
        <v>1512077.52</v>
      </c>
      <c r="E17" s="38">
        <v>1406229.12</v>
      </c>
      <c r="F17" s="38">
        <v>1308754.8799999997</v>
      </c>
      <c r="G17" s="38">
        <v>783848.6</v>
      </c>
      <c r="H17" s="38">
        <v>808087.04000000004</v>
      </c>
      <c r="I17" s="38">
        <v>1281458.5599999998</v>
      </c>
      <c r="J17" s="38">
        <v>1188923.8000000003</v>
      </c>
      <c r="K17" s="38">
        <v>1147082.6800000002</v>
      </c>
      <c r="L17" s="38">
        <v>1615624.32</v>
      </c>
      <c r="M17" s="38">
        <v>1563753.3200000003</v>
      </c>
      <c r="N17" s="38">
        <v>1565753.6400000001</v>
      </c>
      <c r="O17" s="38">
        <v>1981079.2399999998</v>
      </c>
      <c r="P17" s="38">
        <v>2233288.2799999993</v>
      </c>
      <c r="Q17" s="38">
        <v>2264291.7200000002</v>
      </c>
      <c r="R17" s="38">
        <v>2120088.8800000004</v>
      </c>
      <c r="S17" s="38">
        <v>2416542.16</v>
      </c>
      <c r="T17" s="38">
        <v>2453386.8400000003</v>
      </c>
      <c r="U17" s="38">
        <v>2935540.32</v>
      </c>
      <c r="V17" s="38">
        <v>2911233.9199999995</v>
      </c>
      <c r="W17" s="38">
        <v>2912282.8400000003</v>
      </c>
      <c r="X17" s="38">
        <v>3828496.96</v>
      </c>
    </row>
    <row r="18" spans="2:24" x14ac:dyDescent="0.25">
      <c r="B18" s="7" t="s">
        <v>337</v>
      </c>
      <c r="C18" s="38">
        <v>247790.91999999998</v>
      </c>
      <c r="D18" s="38">
        <v>257633.6</v>
      </c>
      <c r="E18" s="38">
        <v>247772.20000000004</v>
      </c>
      <c r="F18" s="38">
        <v>151101.75999999998</v>
      </c>
      <c r="G18" s="38">
        <v>222836.64</v>
      </c>
      <c r="H18" s="38">
        <v>165831.40000000005</v>
      </c>
      <c r="I18" s="38">
        <v>182288.76000000007</v>
      </c>
      <c r="J18" s="38">
        <v>202880.96000000002</v>
      </c>
      <c r="K18" s="38">
        <v>233860.16000000006</v>
      </c>
      <c r="L18" s="38">
        <v>189480.52</v>
      </c>
      <c r="M18" s="38">
        <v>189584</v>
      </c>
      <c r="N18" s="38">
        <v>216751.2</v>
      </c>
      <c r="O18" s="38">
        <v>245341.68</v>
      </c>
      <c r="P18" s="38">
        <v>548822.48</v>
      </c>
      <c r="Q18" s="38">
        <v>736284.60000000009</v>
      </c>
      <c r="R18" s="38">
        <v>343425.91999999987</v>
      </c>
      <c r="S18" s="38">
        <v>424344.63999999996</v>
      </c>
      <c r="T18" s="38">
        <v>2209379.3199999998</v>
      </c>
      <c r="U18" s="38">
        <v>2705916.4</v>
      </c>
      <c r="V18" s="38">
        <v>2693236.16</v>
      </c>
      <c r="W18" s="38">
        <v>2870197.88</v>
      </c>
      <c r="X18" s="38">
        <v>3593826.72</v>
      </c>
    </row>
    <row r="19" spans="2:24" x14ac:dyDescent="0.25">
      <c r="B19" s="7" t="s">
        <v>339</v>
      </c>
      <c r="C19" s="8">
        <v>1049179.6000000001</v>
      </c>
      <c r="D19" s="8">
        <v>1101622.8400000003</v>
      </c>
      <c r="E19" s="8">
        <v>1050830.8399999999</v>
      </c>
      <c r="F19" s="8">
        <v>949049.92000000027</v>
      </c>
      <c r="G19" s="8">
        <v>776606.08</v>
      </c>
      <c r="H19" s="8">
        <v>948497.63999999978</v>
      </c>
      <c r="I19" s="8">
        <v>661838.56000000029</v>
      </c>
      <c r="J19" s="8">
        <v>672539.8400000002</v>
      </c>
      <c r="K19" s="8">
        <v>601445.80000000005</v>
      </c>
      <c r="L19" s="8">
        <v>581964.1599999998</v>
      </c>
      <c r="M19" s="8">
        <v>561798.04000000015</v>
      </c>
      <c r="N19" s="8">
        <v>553616.88</v>
      </c>
      <c r="O19" s="8">
        <v>546140.07999999996</v>
      </c>
      <c r="P19" s="8">
        <v>673912.95999999973</v>
      </c>
      <c r="Q19" s="8">
        <v>894111.84000000008</v>
      </c>
      <c r="R19" s="8">
        <v>1111121.0399999998</v>
      </c>
      <c r="S19" s="8">
        <v>1312487.4800000007</v>
      </c>
      <c r="T19" s="8">
        <v>1513700.6400000011</v>
      </c>
      <c r="U19" s="8">
        <v>1743601.5999999999</v>
      </c>
      <c r="V19" s="8">
        <v>1735472.8399999999</v>
      </c>
      <c r="W19" s="8">
        <v>1881453.1199999999</v>
      </c>
      <c r="X19" s="8">
        <v>2466364.8000000003</v>
      </c>
    </row>
    <row r="20" spans="2:24" x14ac:dyDescent="0.25">
      <c r="B20" s="7" t="s">
        <v>391</v>
      </c>
      <c r="C20" s="38">
        <v>11</v>
      </c>
      <c r="D20" s="38">
        <v>338</v>
      </c>
      <c r="E20" s="38">
        <v>832</v>
      </c>
      <c r="F20" s="38">
        <v>1291</v>
      </c>
      <c r="G20" s="38">
        <v>1897</v>
      </c>
      <c r="H20" s="38">
        <v>2812</v>
      </c>
      <c r="I20" s="38">
        <v>3399</v>
      </c>
      <c r="J20" s="38">
        <v>3767</v>
      </c>
      <c r="K20" s="38">
        <v>4488</v>
      </c>
      <c r="L20" s="38">
        <v>5645</v>
      </c>
      <c r="M20" s="38">
        <v>6126</v>
      </c>
      <c r="N20" s="38">
        <v>322</v>
      </c>
      <c r="O20" s="38">
        <v>388</v>
      </c>
      <c r="P20" s="38">
        <v>130</v>
      </c>
      <c r="Q20" s="38">
        <v>135</v>
      </c>
      <c r="R20" s="38">
        <v>442</v>
      </c>
      <c r="S20" s="38">
        <v>455</v>
      </c>
      <c r="T20" s="38">
        <v>30279</v>
      </c>
      <c r="U20" s="38">
        <v>30448</v>
      </c>
      <c r="V20" s="38">
        <v>30423</v>
      </c>
      <c r="W20" s="38">
        <v>0</v>
      </c>
      <c r="X20" s="38">
        <v>3952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776C-3521-4A52-8827-2CBDC7DAB6A1}">
  <dimension ref="A1:L34"/>
  <sheetViews>
    <sheetView zoomScale="80" zoomScaleNormal="80" workbookViewId="0">
      <selection activeCell="B4" sqref="B4"/>
    </sheetView>
  </sheetViews>
  <sheetFormatPr defaultColWidth="9.140625" defaultRowHeight="15" x14ac:dyDescent="0.25"/>
  <cols>
    <col min="2" max="3" width="24.85546875" style="5" customWidth="1"/>
    <col min="4" max="4" width="64.85546875" style="5" bestFit="1" customWidth="1"/>
    <col min="5" max="12" width="18.7109375" style="5" customWidth="1"/>
    <col min="13" max="16384" width="9.140625" style="5"/>
  </cols>
  <sheetData>
    <row r="1" spans="1:12" customFormat="1" x14ac:dyDescent="0.25">
      <c r="C1" s="5"/>
      <c r="I1" s="40"/>
      <c r="J1" s="41"/>
    </row>
    <row r="2" spans="1:12" s="56" customFormat="1" x14ac:dyDescent="0.25">
      <c r="A2" s="33"/>
      <c r="B2" s="57" t="s">
        <v>447</v>
      </c>
      <c r="K2" s="58"/>
    </row>
    <row r="3" spans="1:12" customFormat="1" x14ac:dyDescent="0.25">
      <c r="C3" s="5"/>
      <c r="I3" s="36"/>
    </row>
    <row r="4" spans="1:12" customFormat="1" x14ac:dyDescent="0.25">
      <c r="B4" s="6" t="s">
        <v>431</v>
      </c>
    </row>
    <row r="5" spans="1:12" customFormat="1" x14ac:dyDescent="0.25">
      <c r="B5" s="65" t="s">
        <v>446</v>
      </c>
    </row>
    <row r="6" spans="1:12" customFormat="1" x14ac:dyDescent="0.25">
      <c r="I6" s="55"/>
      <c r="J6" s="55"/>
      <c r="K6" s="55"/>
      <c r="L6" s="55"/>
    </row>
    <row r="7" spans="1:12" s="2" customFormat="1" ht="45" x14ac:dyDescent="0.25">
      <c r="A7"/>
      <c r="B7" s="49" t="s">
        <v>343</v>
      </c>
      <c r="C7" s="49" t="s">
        <v>165</v>
      </c>
      <c r="D7" s="49" t="s">
        <v>166</v>
      </c>
      <c r="E7" s="49" t="s">
        <v>159</v>
      </c>
      <c r="F7" s="49" t="s">
        <v>160</v>
      </c>
      <c r="G7" s="49" t="s">
        <v>161</v>
      </c>
      <c r="H7" s="49" t="s">
        <v>162</v>
      </c>
      <c r="I7" s="49" t="s">
        <v>433</v>
      </c>
      <c r="J7" s="49" t="s">
        <v>434</v>
      </c>
      <c r="K7" s="49" t="s">
        <v>435</v>
      </c>
      <c r="L7" s="49" t="s">
        <v>445</v>
      </c>
    </row>
    <row r="8" spans="1:12" s="3" customFormat="1" ht="48.75" customHeight="1" x14ac:dyDescent="0.25">
      <c r="A8"/>
      <c r="B8" s="7" t="s">
        <v>96</v>
      </c>
      <c r="C8" s="7" t="s">
        <v>164</v>
      </c>
      <c r="D8" s="60" t="s">
        <v>376</v>
      </c>
      <c r="E8" s="8">
        <v>399995</v>
      </c>
      <c r="F8" s="8">
        <v>216177</v>
      </c>
      <c r="G8" s="8">
        <v>426475</v>
      </c>
      <c r="H8" s="8">
        <v>238050</v>
      </c>
      <c r="I8" s="61">
        <v>1280697</v>
      </c>
      <c r="J8" s="62">
        <v>17063443.000000004</v>
      </c>
      <c r="K8" s="63">
        <v>7.5055016739587657E-2</v>
      </c>
      <c r="L8" s="9" t="s">
        <v>392</v>
      </c>
    </row>
    <row r="9" spans="1:12" s="3" customFormat="1" ht="48.75" customHeight="1" x14ac:dyDescent="0.25">
      <c r="A9"/>
      <c r="B9" s="7" t="s">
        <v>118</v>
      </c>
      <c r="C9" s="7" t="s">
        <v>117</v>
      </c>
      <c r="D9" s="60" t="s">
        <v>377</v>
      </c>
      <c r="E9" s="8">
        <v>197476</v>
      </c>
      <c r="F9" s="8">
        <v>133513</v>
      </c>
      <c r="G9" s="8">
        <v>199381</v>
      </c>
      <c r="H9" s="8">
        <v>142792</v>
      </c>
      <c r="I9" s="61">
        <v>673162</v>
      </c>
      <c r="J9" s="62">
        <v>16402771.999999996</v>
      </c>
      <c r="K9" s="63">
        <v>4.1039526733652104E-2</v>
      </c>
      <c r="L9" s="9" t="s">
        <v>393</v>
      </c>
    </row>
    <row r="10" spans="1:12" s="3" customFormat="1" ht="48.75" customHeight="1" x14ac:dyDescent="0.25">
      <c r="A10"/>
      <c r="B10" s="7" t="s">
        <v>19</v>
      </c>
      <c r="C10" s="7" t="s">
        <v>18</v>
      </c>
      <c r="D10" s="64" t="s">
        <v>380</v>
      </c>
      <c r="E10" s="8">
        <v>177917.33000000002</v>
      </c>
      <c r="F10" s="8">
        <v>121732.91</v>
      </c>
      <c r="G10" s="8">
        <v>177917.33000000002</v>
      </c>
      <c r="H10" s="8">
        <v>121732.91</v>
      </c>
      <c r="I10" s="61">
        <v>599300.48</v>
      </c>
      <c r="J10" s="62">
        <v>9865997</v>
      </c>
      <c r="K10" s="63">
        <v>6.0744036309761697E-2</v>
      </c>
      <c r="L10" s="9" t="s">
        <v>396</v>
      </c>
    </row>
    <row r="11" spans="1:12" s="3" customFormat="1" ht="48.75" customHeight="1" x14ac:dyDescent="0.25">
      <c r="A11"/>
      <c r="B11" s="7" t="s">
        <v>75</v>
      </c>
      <c r="C11" s="7" t="s">
        <v>74</v>
      </c>
      <c r="D11" s="64" t="s">
        <v>378</v>
      </c>
      <c r="E11" s="8">
        <v>156557</v>
      </c>
      <c r="F11" s="8">
        <v>92325</v>
      </c>
      <c r="G11" s="8">
        <v>164270</v>
      </c>
      <c r="H11" s="8">
        <v>98386</v>
      </c>
      <c r="I11" s="61">
        <v>511538</v>
      </c>
      <c r="J11" s="62">
        <v>70933101</v>
      </c>
      <c r="K11" s="63">
        <v>7.2115555754428389E-3</v>
      </c>
      <c r="L11" s="9" t="s">
        <v>394</v>
      </c>
    </row>
    <row r="12" spans="1:12" s="3" customFormat="1" ht="48.75" customHeight="1" x14ac:dyDescent="0.25">
      <c r="A12"/>
      <c r="B12" s="7" t="s">
        <v>90</v>
      </c>
      <c r="C12" s="7" t="s">
        <v>89</v>
      </c>
      <c r="D12" s="64" t="s">
        <v>379</v>
      </c>
      <c r="E12" s="8">
        <v>126311</v>
      </c>
      <c r="F12" s="8">
        <v>88616</v>
      </c>
      <c r="G12" s="8">
        <v>129249</v>
      </c>
      <c r="H12" s="8">
        <v>89318</v>
      </c>
      <c r="I12" s="61">
        <v>433494</v>
      </c>
      <c r="J12" s="62">
        <v>14486375</v>
      </c>
      <c r="K12" s="63">
        <v>2.9924256413353927E-2</v>
      </c>
      <c r="L12" s="9" t="s">
        <v>395</v>
      </c>
    </row>
    <row r="13" spans="1:12" s="3" customFormat="1" ht="48.75" customHeight="1" x14ac:dyDescent="0.25">
      <c r="A13"/>
      <c r="B13" s="7" t="s">
        <v>78</v>
      </c>
      <c r="C13" s="7" t="s">
        <v>77</v>
      </c>
      <c r="D13" s="64" t="s">
        <v>367</v>
      </c>
      <c r="E13" s="8">
        <v>126756.505</v>
      </c>
      <c r="F13" s="8">
        <v>86728.135000000009</v>
      </c>
      <c r="G13" s="8">
        <v>126756.505</v>
      </c>
      <c r="H13" s="8">
        <v>86728.135000000009</v>
      </c>
      <c r="I13" s="61">
        <v>426969.28</v>
      </c>
      <c r="J13" s="62">
        <v>7721924.0000000009</v>
      </c>
      <c r="K13" s="63">
        <v>5.529312124802057E-2</v>
      </c>
      <c r="L13" s="9" t="s">
        <v>413</v>
      </c>
    </row>
    <row r="14" spans="1:12" s="3" customFormat="1" ht="48.75" customHeight="1" x14ac:dyDescent="0.25">
      <c r="A14"/>
      <c r="B14" s="7" t="s">
        <v>114</v>
      </c>
      <c r="C14" s="7" t="s">
        <v>113</v>
      </c>
      <c r="D14" s="64" t="s">
        <v>375</v>
      </c>
      <c r="E14" s="8">
        <v>104899</v>
      </c>
      <c r="F14" s="8">
        <v>72361</v>
      </c>
      <c r="G14" s="8">
        <v>106849</v>
      </c>
      <c r="H14" s="8">
        <v>80300</v>
      </c>
      <c r="I14" s="61">
        <v>364409</v>
      </c>
      <c r="J14" s="62">
        <v>38517122</v>
      </c>
      <c r="K14" s="63">
        <v>9.4609612836597714E-3</v>
      </c>
      <c r="L14" s="9" t="s">
        <v>397</v>
      </c>
    </row>
    <row r="15" spans="1:12" s="3" customFormat="1" ht="48.75" customHeight="1" x14ac:dyDescent="0.25">
      <c r="A15"/>
      <c r="B15" s="7" t="s">
        <v>54</v>
      </c>
      <c r="C15" s="7" t="s">
        <v>53</v>
      </c>
      <c r="D15" s="64" t="s">
        <v>372</v>
      </c>
      <c r="E15" s="8">
        <v>103279</v>
      </c>
      <c r="F15" s="8">
        <v>70135</v>
      </c>
      <c r="G15" s="8">
        <v>107172</v>
      </c>
      <c r="H15" s="8">
        <v>73135</v>
      </c>
      <c r="I15" s="61">
        <v>353721</v>
      </c>
      <c r="J15" s="62">
        <v>1401480</v>
      </c>
      <c r="K15" s="63">
        <v>0.25239104375374605</v>
      </c>
      <c r="L15" s="9" t="s">
        <v>400</v>
      </c>
    </row>
    <row r="16" spans="1:12" s="3" customFormat="1" ht="48.75" customHeight="1" x14ac:dyDescent="0.25">
      <c r="A16"/>
      <c r="B16" s="7" t="s">
        <v>12</v>
      </c>
      <c r="C16" s="7" t="s">
        <v>11</v>
      </c>
      <c r="D16" s="64" t="s">
        <v>373</v>
      </c>
      <c r="E16" s="8">
        <v>99810</v>
      </c>
      <c r="F16" s="8">
        <v>60660</v>
      </c>
      <c r="G16" s="8">
        <v>103520</v>
      </c>
      <c r="H16" s="8">
        <v>66043</v>
      </c>
      <c r="I16" s="61">
        <v>330033</v>
      </c>
      <c r="J16" s="62">
        <v>40137700.000000007</v>
      </c>
      <c r="K16" s="63">
        <v>8.2225189784167988E-3</v>
      </c>
      <c r="L16" s="9" t="s">
        <v>399</v>
      </c>
    </row>
    <row r="17" spans="1:12" s="3" customFormat="1" ht="48.75" customHeight="1" x14ac:dyDescent="0.25">
      <c r="A17"/>
      <c r="B17" s="7" t="s">
        <v>45</v>
      </c>
      <c r="C17" s="7" t="s">
        <v>44</v>
      </c>
      <c r="D17" s="64" t="s">
        <v>371</v>
      </c>
      <c r="E17" s="8">
        <v>73374</v>
      </c>
      <c r="F17" s="8">
        <v>53114</v>
      </c>
      <c r="G17" s="8">
        <v>77675</v>
      </c>
      <c r="H17" s="8">
        <v>56006</v>
      </c>
      <c r="I17" s="61">
        <v>260169</v>
      </c>
      <c r="J17" s="62">
        <v>3094175</v>
      </c>
      <c r="K17" s="63">
        <v>8.4083479441208073E-2</v>
      </c>
      <c r="L17" s="9" t="s">
        <v>401</v>
      </c>
    </row>
    <row r="18" spans="1:12" s="3" customFormat="1" ht="48.75" customHeight="1" x14ac:dyDescent="0.25">
      <c r="A18"/>
      <c r="B18" s="7" t="s">
        <v>40</v>
      </c>
      <c r="C18" s="7" t="s">
        <v>39</v>
      </c>
      <c r="D18" s="64" t="s">
        <v>369</v>
      </c>
      <c r="E18" s="8">
        <v>75845.815000000002</v>
      </c>
      <c r="F18" s="8">
        <v>51894.505000000005</v>
      </c>
      <c r="G18" s="8">
        <v>75845.815000000002</v>
      </c>
      <c r="H18" s="8">
        <v>51894.505000000005</v>
      </c>
      <c r="I18" s="61">
        <v>255480.64</v>
      </c>
      <c r="J18" s="62">
        <v>17529423.000000004</v>
      </c>
      <c r="K18" s="63">
        <v>1.4574389584871103E-2</v>
      </c>
      <c r="L18" s="9" t="s">
        <v>403</v>
      </c>
    </row>
    <row r="19" spans="1:12" s="3" customFormat="1" ht="48.75" customHeight="1" x14ac:dyDescent="0.25">
      <c r="A19"/>
      <c r="B19" s="7" t="s">
        <v>107</v>
      </c>
      <c r="C19" s="7" t="s">
        <v>106</v>
      </c>
      <c r="D19" s="64" t="s">
        <v>370</v>
      </c>
      <c r="E19" s="8">
        <v>72001</v>
      </c>
      <c r="F19" s="8">
        <v>43359</v>
      </c>
      <c r="G19" s="8">
        <v>72839</v>
      </c>
      <c r="H19" s="8">
        <v>44335</v>
      </c>
      <c r="I19" s="61">
        <v>232534</v>
      </c>
      <c r="J19" s="62">
        <v>33093546.000000004</v>
      </c>
      <c r="K19" s="63">
        <v>7.0265664489384113E-3</v>
      </c>
      <c r="L19" s="9" t="s">
        <v>402</v>
      </c>
    </row>
    <row r="20" spans="1:12" s="3" customFormat="1" ht="48.75" customHeight="1" x14ac:dyDescent="0.25">
      <c r="A20"/>
      <c r="B20" s="7" t="s">
        <v>49</v>
      </c>
      <c r="C20" s="7" t="s">
        <v>48</v>
      </c>
      <c r="D20" s="64" t="s">
        <v>387</v>
      </c>
      <c r="E20" s="8">
        <v>56657</v>
      </c>
      <c r="F20" s="8">
        <v>44017</v>
      </c>
      <c r="G20" s="8">
        <v>60429</v>
      </c>
      <c r="H20" s="8">
        <v>51394</v>
      </c>
      <c r="I20" s="61">
        <v>212497</v>
      </c>
      <c r="J20" s="62">
        <v>17136627</v>
      </c>
      <c r="K20" s="63">
        <v>1.2400164863248759E-2</v>
      </c>
      <c r="L20" s="9" t="s">
        <v>404</v>
      </c>
    </row>
    <row r="21" spans="1:12" s="3" customFormat="1" ht="48.75" customHeight="1" x14ac:dyDescent="0.25">
      <c r="A21"/>
      <c r="B21" s="7" t="s">
        <v>125</v>
      </c>
      <c r="C21" s="7" t="s">
        <v>124</v>
      </c>
      <c r="D21" s="64" t="s">
        <v>386</v>
      </c>
      <c r="E21" s="8">
        <v>59240</v>
      </c>
      <c r="F21" s="8">
        <v>40692</v>
      </c>
      <c r="G21" s="8">
        <v>59863</v>
      </c>
      <c r="H21" s="8">
        <v>39465</v>
      </c>
      <c r="I21" s="61">
        <v>199260</v>
      </c>
      <c r="J21" s="62">
        <v>6125462</v>
      </c>
      <c r="K21" s="63">
        <v>3.252979122227842E-2</v>
      </c>
      <c r="L21" s="9" t="s">
        <v>405</v>
      </c>
    </row>
    <row r="22" spans="1:12" s="3" customFormat="1" ht="48.75" customHeight="1" x14ac:dyDescent="0.25">
      <c r="A22"/>
      <c r="B22" s="7" t="s">
        <v>104</v>
      </c>
      <c r="C22" s="7" t="s">
        <v>103</v>
      </c>
      <c r="D22" s="64" t="s">
        <v>383</v>
      </c>
      <c r="E22" s="8">
        <v>60907</v>
      </c>
      <c r="F22" s="8">
        <v>36168</v>
      </c>
      <c r="G22" s="8">
        <v>61000</v>
      </c>
      <c r="H22" s="8">
        <v>35147</v>
      </c>
      <c r="I22" s="61">
        <v>193222</v>
      </c>
      <c r="J22" s="62">
        <v>8993113</v>
      </c>
      <c r="K22" s="63">
        <v>2.1485552333213205E-2</v>
      </c>
      <c r="L22" s="9" t="s">
        <v>406</v>
      </c>
    </row>
    <row r="23" spans="1:12" s="3" customFormat="1" ht="48.75" customHeight="1" x14ac:dyDescent="0.25">
      <c r="A23"/>
      <c r="B23" s="7" t="s">
        <v>24</v>
      </c>
      <c r="C23" s="7" t="s">
        <v>23</v>
      </c>
      <c r="D23" s="64" t="s">
        <v>381</v>
      </c>
      <c r="E23" s="8">
        <v>53924.090000000004</v>
      </c>
      <c r="F23" s="8">
        <v>36895.43</v>
      </c>
      <c r="G23" s="8">
        <v>53924.090000000004</v>
      </c>
      <c r="H23" s="8">
        <v>36895.43</v>
      </c>
      <c r="I23" s="61">
        <v>181639.04000000001</v>
      </c>
      <c r="J23" s="62">
        <v>4091191</v>
      </c>
      <c r="K23" s="63">
        <v>4.4397594734638397E-2</v>
      </c>
      <c r="L23" s="9" t="s">
        <v>408</v>
      </c>
    </row>
    <row r="24" spans="1:12" s="3" customFormat="1" ht="48.75" customHeight="1" x14ac:dyDescent="0.25">
      <c r="A24"/>
      <c r="B24" s="7" t="s">
        <v>133</v>
      </c>
      <c r="C24" s="7" t="s">
        <v>132</v>
      </c>
      <c r="D24" s="64" t="s">
        <v>382</v>
      </c>
      <c r="E24" s="8">
        <v>40691</v>
      </c>
      <c r="F24" s="8">
        <v>30329</v>
      </c>
      <c r="G24" s="8">
        <v>42229</v>
      </c>
      <c r="H24" s="8">
        <v>30003</v>
      </c>
      <c r="I24" s="61">
        <v>143252</v>
      </c>
      <c r="J24" s="62">
        <v>4134674</v>
      </c>
      <c r="K24" s="63">
        <v>3.4646504174210592E-2</v>
      </c>
      <c r="L24" s="9" t="s">
        <v>407</v>
      </c>
    </row>
    <row r="25" spans="1:12" s="3" customFormat="1" ht="48.75" customHeight="1" x14ac:dyDescent="0.25">
      <c r="A25"/>
      <c r="B25" s="7" t="s">
        <v>15</v>
      </c>
      <c r="C25" s="7" t="s">
        <v>14</v>
      </c>
      <c r="D25" s="64" t="s">
        <v>341</v>
      </c>
      <c r="E25" s="8">
        <v>41532.195</v>
      </c>
      <c r="F25" s="8">
        <v>28416.764999999999</v>
      </c>
      <c r="G25" s="8">
        <v>41532.195</v>
      </c>
      <c r="H25" s="8">
        <v>28416.764999999999</v>
      </c>
      <c r="I25" s="61">
        <v>139897.91999999998</v>
      </c>
      <c r="J25" s="62">
        <v>39224247</v>
      </c>
      <c r="K25" s="63">
        <v>3.5666183725591976E-3</v>
      </c>
      <c r="L25" s="9" t="s">
        <v>415</v>
      </c>
    </row>
    <row r="26" spans="1:12" s="3" customFormat="1" ht="48.75" customHeight="1" x14ac:dyDescent="0.25">
      <c r="A26"/>
      <c r="B26" s="7" t="s">
        <v>141</v>
      </c>
      <c r="C26" s="7" t="s">
        <v>140</v>
      </c>
      <c r="D26" s="64" t="s">
        <v>384</v>
      </c>
      <c r="E26" s="8">
        <v>42689</v>
      </c>
      <c r="F26" s="8">
        <v>21200</v>
      </c>
      <c r="G26" s="8">
        <v>40219</v>
      </c>
      <c r="H26" s="8">
        <v>19639</v>
      </c>
      <c r="I26" s="61">
        <v>123747</v>
      </c>
      <c r="J26" s="62">
        <v>9083435.0000000019</v>
      </c>
      <c r="K26" s="63">
        <v>1.3623370454018768E-2</v>
      </c>
      <c r="L26" s="9" t="s">
        <v>409</v>
      </c>
    </row>
    <row r="27" spans="1:12" s="3" customFormat="1" ht="48.75" customHeight="1" x14ac:dyDescent="0.25">
      <c r="A27"/>
      <c r="B27" s="7" t="s">
        <v>63</v>
      </c>
      <c r="C27" s="7" t="s">
        <v>62</v>
      </c>
      <c r="D27" s="64" t="s">
        <v>364</v>
      </c>
      <c r="E27" s="8">
        <v>27908.814999999999</v>
      </c>
      <c r="F27" s="8">
        <v>19095.505000000001</v>
      </c>
      <c r="G27" s="8">
        <v>27908.814999999999</v>
      </c>
      <c r="H27" s="8">
        <v>19095.505000000001</v>
      </c>
      <c r="I27" s="61">
        <v>94008.639999999999</v>
      </c>
      <c r="J27" s="62">
        <v>28251725</v>
      </c>
      <c r="K27" s="63">
        <v>3.3275362831827085E-3</v>
      </c>
      <c r="L27" s="9" t="s">
        <v>416</v>
      </c>
    </row>
    <row r="28" spans="1:12" s="3" customFormat="1" ht="48.75" customHeight="1" x14ac:dyDescent="0.25">
      <c r="A28"/>
      <c r="B28" s="7" t="s">
        <v>42</v>
      </c>
      <c r="C28" s="7" t="s">
        <v>41</v>
      </c>
      <c r="D28" s="64" t="s">
        <v>366</v>
      </c>
      <c r="E28" s="8">
        <v>26022</v>
      </c>
      <c r="F28" s="8">
        <v>14638</v>
      </c>
      <c r="G28" s="8">
        <v>27200</v>
      </c>
      <c r="H28" s="8">
        <v>15956</v>
      </c>
      <c r="I28" s="61">
        <v>83816</v>
      </c>
      <c r="J28" s="62">
        <v>13660919.000000002</v>
      </c>
      <c r="K28" s="63">
        <v>6.1354583831439149E-3</v>
      </c>
      <c r="L28" s="9" t="s">
        <v>411</v>
      </c>
    </row>
    <row r="29" spans="1:12" s="3" customFormat="1" ht="48.75" customHeight="1" x14ac:dyDescent="0.25">
      <c r="A29"/>
      <c r="B29" s="7" t="s">
        <v>135</v>
      </c>
      <c r="C29" s="7" t="s">
        <v>134</v>
      </c>
      <c r="D29" s="64" t="s">
        <v>385</v>
      </c>
      <c r="E29" s="8">
        <v>23664</v>
      </c>
      <c r="F29" s="8">
        <v>17154</v>
      </c>
      <c r="G29" s="8">
        <v>24199</v>
      </c>
      <c r="H29" s="8">
        <v>17383</v>
      </c>
      <c r="I29" s="61">
        <v>82400</v>
      </c>
      <c r="J29" s="62">
        <v>21541898</v>
      </c>
      <c r="K29" s="63">
        <v>3.8251039903726219E-3</v>
      </c>
      <c r="L29" s="9" t="s">
        <v>410</v>
      </c>
    </row>
    <row r="30" spans="1:12" s="3" customFormat="1" ht="48.75" customHeight="1" x14ac:dyDescent="0.25">
      <c r="A30"/>
      <c r="B30" s="7" t="s">
        <v>86</v>
      </c>
      <c r="C30" s="7" t="s">
        <v>85</v>
      </c>
      <c r="D30" s="64" t="s">
        <v>368</v>
      </c>
      <c r="E30" s="8">
        <v>23077.685000000001</v>
      </c>
      <c r="F30" s="8">
        <v>15789.995000000001</v>
      </c>
      <c r="G30" s="8">
        <v>23077.685000000001</v>
      </c>
      <c r="H30" s="8">
        <v>15789.995000000001</v>
      </c>
      <c r="I30" s="61">
        <v>77735.360000000001</v>
      </c>
      <c r="J30" s="62">
        <v>14148751</v>
      </c>
      <c r="K30" s="63">
        <v>5.494149978326709E-3</v>
      </c>
      <c r="L30" s="9" t="s">
        <v>414</v>
      </c>
    </row>
    <row r="31" spans="1:12" s="3" customFormat="1" ht="48.75" customHeight="1" x14ac:dyDescent="0.25">
      <c r="A31"/>
      <c r="B31" s="7" t="s">
        <v>4</v>
      </c>
      <c r="C31" s="7" t="s">
        <v>3</v>
      </c>
      <c r="D31" s="64" t="s">
        <v>365</v>
      </c>
      <c r="E31" s="8">
        <v>20368</v>
      </c>
      <c r="F31" s="8">
        <v>16749</v>
      </c>
      <c r="G31" s="8">
        <v>21530</v>
      </c>
      <c r="H31" s="8">
        <v>18952</v>
      </c>
      <c r="I31" s="61">
        <v>77599</v>
      </c>
      <c r="J31" s="62">
        <v>29619044</v>
      </c>
      <c r="K31" s="63">
        <v>2.6199022493771239E-3</v>
      </c>
      <c r="L31" s="9" t="s">
        <v>412</v>
      </c>
    </row>
    <row r="32" spans="1:12" s="3" customFormat="1" ht="48.75" customHeight="1" x14ac:dyDescent="0.25">
      <c r="A32"/>
      <c r="B32" s="7" t="s">
        <v>36</v>
      </c>
      <c r="C32" s="7" t="s">
        <v>35</v>
      </c>
      <c r="D32" s="64" t="s">
        <v>374</v>
      </c>
      <c r="E32" s="8">
        <v>21449.195</v>
      </c>
      <c r="F32" s="8">
        <v>14675.765000000001</v>
      </c>
      <c r="G32" s="8">
        <v>21449.195</v>
      </c>
      <c r="H32" s="8">
        <v>14675.765000000001</v>
      </c>
      <c r="I32" s="61">
        <v>72249.919999999998</v>
      </c>
      <c r="J32" s="62">
        <v>322856371</v>
      </c>
      <c r="K32" s="63">
        <v>2.2378347305402872E-4</v>
      </c>
      <c r="L32" s="9" t="s">
        <v>398</v>
      </c>
    </row>
    <row r="34" spans="5:6" x14ac:dyDescent="0.25">
      <c r="E34" s="11"/>
      <c r="F34" s="11"/>
    </row>
  </sheetData>
  <sortState xmlns:xlrd2="http://schemas.microsoft.com/office/spreadsheetml/2017/richdata2" ref="B8:L32">
    <sortCondition descending="1" ref="I8:I3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C4CD-F992-42CD-91BB-744407E3B358}">
  <dimension ref="A1:Q75"/>
  <sheetViews>
    <sheetView zoomScale="80" zoomScaleNormal="80" workbookViewId="0">
      <selection activeCell="B3" sqref="B3"/>
    </sheetView>
  </sheetViews>
  <sheetFormatPr defaultColWidth="9.140625" defaultRowHeight="15" x14ac:dyDescent="0.25"/>
  <cols>
    <col min="2" max="2" width="68.85546875" style="13" customWidth="1"/>
    <col min="3" max="3" width="18.5703125" style="26" bestFit="1" customWidth="1"/>
    <col min="4" max="4" width="5.140625" style="13" bestFit="1" customWidth="1"/>
    <col min="5" max="5" width="8" style="13" customWidth="1"/>
    <col min="6" max="10" width="18.42578125" style="13" customWidth="1"/>
    <col min="11" max="16384" width="9.140625" style="13"/>
  </cols>
  <sheetData>
    <row r="1" spans="2:17" customFormat="1" x14ac:dyDescent="0.25">
      <c r="C1" s="5"/>
      <c r="D1" s="5"/>
    </row>
    <row r="2" spans="2:17" s="33" customFormat="1" x14ac:dyDescent="0.25">
      <c r="B2" s="32" t="s">
        <v>448</v>
      </c>
    </row>
    <row r="3" spans="2:17" customFormat="1" x14ac:dyDescent="0.25">
      <c r="C3" s="5"/>
      <c r="D3" s="5"/>
    </row>
    <row r="5" spans="2:17" x14ac:dyDescent="0.25">
      <c r="B5" s="30" t="s">
        <v>172</v>
      </c>
      <c r="C5" s="30" t="s">
        <v>238</v>
      </c>
      <c r="D5" s="30" t="s">
        <v>0</v>
      </c>
      <c r="E5" s="12"/>
    </row>
    <row r="6" spans="2:17" x14ac:dyDescent="0.25">
      <c r="B6" s="10" t="s">
        <v>174</v>
      </c>
      <c r="C6" s="27">
        <v>185.0566075092444</v>
      </c>
      <c r="D6" s="10">
        <v>2021</v>
      </c>
    </row>
    <row r="7" spans="2:17" x14ac:dyDescent="0.25">
      <c r="B7" s="10" t="s">
        <v>169</v>
      </c>
      <c r="C7" s="27">
        <v>69.828641120200004</v>
      </c>
      <c r="D7" s="10">
        <v>2021</v>
      </c>
    </row>
    <row r="8" spans="2:17" x14ac:dyDescent="0.25">
      <c r="B8" s="10" t="s">
        <v>180</v>
      </c>
      <c r="C8" s="27">
        <v>23.448245999999997</v>
      </c>
      <c r="D8" s="10">
        <v>2021</v>
      </c>
    </row>
    <row r="9" spans="2:17" x14ac:dyDescent="0.25">
      <c r="B9" s="10" t="s">
        <v>179</v>
      </c>
      <c r="C9" s="27">
        <v>16.383180690299998</v>
      </c>
      <c r="D9" s="10">
        <v>2021</v>
      </c>
    </row>
    <row r="10" spans="2:17" x14ac:dyDescent="0.25">
      <c r="B10" s="10" t="s">
        <v>178</v>
      </c>
      <c r="C10" s="27">
        <v>15.155499999999998</v>
      </c>
      <c r="D10" s="10">
        <v>2021</v>
      </c>
      <c r="P10" s="18"/>
      <c r="Q10" s="18"/>
    </row>
    <row r="11" spans="2:17" x14ac:dyDescent="0.25">
      <c r="B11" s="10" t="s">
        <v>181</v>
      </c>
      <c r="C11" s="27">
        <v>14.743333333460003</v>
      </c>
      <c r="D11" s="10">
        <v>2021</v>
      </c>
      <c r="P11" s="18"/>
      <c r="Q11" s="18"/>
    </row>
    <row r="12" spans="2:17" x14ac:dyDescent="0.25">
      <c r="B12" s="10" t="s">
        <v>183</v>
      </c>
      <c r="C12" s="27">
        <v>11.0233842439333</v>
      </c>
      <c r="D12" s="10">
        <v>2021</v>
      </c>
      <c r="P12" s="18"/>
      <c r="Q12" s="18"/>
    </row>
    <row r="13" spans="2:17" x14ac:dyDescent="0.25">
      <c r="B13" s="10" t="s">
        <v>177</v>
      </c>
      <c r="C13" s="27">
        <v>10.456339999999999</v>
      </c>
      <c r="D13" s="10">
        <v>2021</v>
      </c>
      <c r="P13" s="18"/>
      <c r="Q13" s="18"/>
    </row>
    <row r="14" spans="2:17" x14ac:dyDescent="0.25">
      <c r="B14" s="10" t="s">
        <v>184</v>
      </c>
      <c r="C14" s="27">
        <v>8.2626554488349981</v>
      </c>
      <c r="D14" s="10">
        <v>2021</v>
      </c>
      <c r="P14" s="18"/>
      <c r="Q14" s="18"/>
    </row>
    <row r="15" spans="2:17" x14ac:dyDescent="0.25">
      <c r="B15" s="10" t="s">
        <v>182</v>
      </c>
      <c r="C15" s="27">
        <v>7.720284608038293</v>
      </c>
      <c r="D15" s="10">
        <v>2021</v>
      </c>
      <c r="P15" s="18"/>
      <c r="Q15" s="18"/>
    </row>
    <row r="16" spans="2:17" x14ac:dyDescent="0.25">
      <c r="B16" s="10" t="s">
        <v>168</v>
      </c>
      <c r="C16" s="27">
        <v>7.4693344000000002</v>
      </c>
      <c r="D16" s="10">
        <v>2021</v>
      </c>
      <c r="P16" s="18"/>
      <c r="Q16" s="18"/>
    </row>
    <row r="17" spans="2:7" x14ac:dyDescent="0.25">
      <c r="B17" s="10" t="s">
        <v>185</v>
      </c>
      <c r="C17" s="27">
        <v>6.9714939999999999</v>
      </c>
      <c r="D17" s="10">
        <v>2021</v>
      </c>
    </row>
    <row r="18" spans="2:7" x14ac:dyDescent="0.25">
      <c r="B18" s="10" t="s">
        <v>175</v>
      </c>
      <c r="C18" s="27">
        <v>6.0668949671772427</v>
      </c>
      <c r="D18" s="10">
        <v>2021</v>
      </c>
    </row>
    <row r="19" spans="2:7" x14ac:dyDescent="0.25">
      <c r="B19" s="10" t="s">
        <v>186</v>
      </c>
      <c r="C19" s="27">
        <v>5.6694940160832541</v>
      </c>
      <c r="D19" s="10">
        <v>2021</v>
      </c>
    </row>
    <row r="20" spans="2:7" x14ac:dyDescent="0.25">
      <c r="B20" s="10" t="s">
        <v>187</v>
      </c>
      <c r="C20" s="27">
        <v>5.1377719962157054</v>
      </c>
      <c r="D20" s="10">
        <v>2021</v>
      </c>
    </row>
    <row r="21" spans="2:7" x14ac:dyDescent="0.25">
      <c r="B21" s="10" t="s">
        <v>190</v>
      </c>
      <c r="C21" s="27">
        <v>4.4914118900000002</v>
      </c>
      <c r="D21" s="10">
        <v>2021</v>
      </c>
    </row>
    <row r="22" spans="2:7" x14ac:dyDescent="0.25">
      <c r="B22" s="10" t="s">
        <v>189</v>
      </c>
      <c r="C22" s="27">
        <v>4.0233837689133427</v>
      </c>
      <c r="D22" s="10">
        <v>2021</v>
      </c>
    </row>
    <row r="23" spans="2:7" x14ac:dyDescent="0.25">
      <c r="B23" s="10" t="s">
        <v>192</v>
      </c>
      <c r="C23" s="27">
        <v>3.8823872929229708</v>
      </c>
      <c r="D23" s="10">
        <v>2021</v>
      </c>
    </row>
    <row r="24" spans="2:7" x14ac:dyDescent="0.25">
      <c r="B24" s="10" t="s">
        <v>176</v>
      </c>
      <c r="C24" s="27">
        <v>3.08</v>
      </c>
      <c r="D24" s="10">
        <v>2021</v>
      </c>
    </row>
    <row r="25" spans="2:7" x14ac:dyDescent="0.25">
      <c r="B25" s="10" t="s">
        <v>191</v>
      </c>
      <c r="C25" s="27">
        <v>1.8887943196259722</v>
      </c>
      <c r="D25" s="10">
        <v>2021</v>
      </c>
    </row>
    <row r="26" spans="2:7" x14ac:dyDescent="0.25">
      <c r="B26" s="10" t="s">
        <v>194</v>
      </c>
      <c r="C26" s="27">
        <v>1.43</v>
      </c>
      <c r="D26" s="10">
        <v>2021</v>
      </c>
    </row>
    <row r="27" spans="2:7" x14ac:dyDescent="0.25">
      <c r="B27" s="10" t="s">
        <v>203</v>
      </c>
      <c r="C27" s="27">
        <v>1.100287</v>
      </c>
      <c r="D27" s="10">
        <v>2021</v>
      </c>
    </row>
    <row r="28" spans="2:7" x14ac:dyDescent="0.25">
      <c r="B28" s="10" t="s">
        <v>196</v>
      </c>
      <c r="C28" s="27">
        <v>0.97472327341532639</v>
      </c>
      <c r="D28" s="10">
        <v>2021</v>
      </c>
      <c r="F28" s="30" t="s">
        <v>172</v>
      </c>
      <c r="G28" s="30" t="s">
        <v>173</v>
      </c>
    </row>
    <row r="29" spans="2:7" x14ac:dyDescent="0.25">
      <c r="B29" s="10" t="s">
        <v>195</v>
      </c>
      <c r="C29" s="27">
        <v>0.96194654683065284</v>
      </c>
      <c r="D29" s="10">
        <v>2021</v>
      </c>
      <c r="F29" s="10" t="s">
        <v>240</v>
      </c>
      <c r="G29" s="28">
        <v>185.0566075092444</v>
      </c>
    </row>
    <row r="30" spans="2:7" x14ac:dyDescent="0.25">
      <c r="B30" s="10" t="s">
        <v>198</v>
      </c>
      <c r="C30" s="27">
        <v>0.95499999999999996</v>
      </c>
      <c r="D30" s="10">
        <v>2021</v>
      </c>
      <c r="F30" s="10" t="s">
        <v>239</v>
      </c>
      <c r="G30" s="28">
        <v>69.828641120200004</v>
      </c>
    </row>
    <row r="31" spans="2:7" x14ac:dyDescent="0.25">
      <c r="B31" s="10" t="s">
        <v>199</v>
      </c>
      <c r="C31" s="27">
        <v>0.7</v>
      </c>
      <c r="D31" s="10">
        <v>2021</v>
      </c>
      <c r="F31" s="10" t="s">
        <v>244</v>
      </c>
      <c r="G31" s="28">
        <v>23.448245999999997</v>
      </c>
    </row>
    <row r="32" spans="2:7" x14ac:dyDescent="0.25">
      <c r="B32" s="10" t="s">
        <v>204</v>
      </c>
      <c r="C32" s="27">
        <v>0.66809399999999997</v>
      </c>
      <c r="D32" s="10">
        <v>2021</v>
      </c>
      <c r="F32" s="10" t="s">
        <v>243</v>
      </c>
      <c r="G32" s="28">
        <v>16.383180690299998</v>
      </c>
    </row>
    <row r="33" spans="2:7" ht="15.75" x14ac:dyDescent="0.25">
      <c r="B33" s="10" t="s">
        <v>197</v>
      </c>
      <c r="C33" s="27">
        <v>0.53086500000000003</v>
      </c>
      <c r="D33" s="10">
        <v>2021</v>
      </c>
      <c r="E33" s="42"/>
      <c r="F33" s="10" t="s">
        <v>242</v>
      </c>
      <c r="G33" s="28">
        <v>15.155499999999998</v>
      </c>
    </row>
    <row r="34" spans="2:7" x14ac:dyDescent="0.25">
      <c r="B34" s="10" t="s">
        <v>169</v>
      </c>
      <c r="C34" s="27">
        <v>0.25</v>
      </c>
      <c r="D34" s="10">
        <v>2021</v>
      </c>
      <c r="F34" s="10" t="s">
        <v>347</v>
      </c>
      <c r="G34" s="28">
        <v>14.743333333460003</v>
      </c>
    </row>
    <row r="35" spans="2:7" x14ac:dyDescent="0.25">
      <c r="B35" s="10" t="s">
        <v>200</v>
      </c>
      <c r="C35" s="27">
        <v>0.22977</v>
      </c>
      <c r="D35" s="10">
        <v>2022</v>
      </c>
      <c r="F35" s="10" t="s">
        <v>245</v>
      </c>
      <c r="G35" s="28">
        <v>11.0233842439333</v>
      </c>
    </row>
    <row r="36" spans="2:7" x14ac:dyDescent="0.25">
      <c r="B36" s="10" t="s">
        <v>205</v>
      </c>
      <c r="C36" s="27">
        <v>0.19997999999999999</v>
      </c>
      <c r="D36" s="10">
        <v>2022</v>
      </c>
      <c r="F36" s="10" t="s">
        <v>350</v>
      </c>
      <c r="G36" s="28">
        <v>10.456339999999999</v>
      </c>
    </row>
    <row r="37" spans="2:7" x14ac:dyDescent="0.25">
      <c r="B37" s="10" t="s">
        <v>206</v>
      </c>
      <c r="C37" s="27">
        <v>0.18748500000000001</v>
      </c>
      <c r="D37" s="10">
        <v>2021</v>
      </c>
      <c r="F37" s="10" t="s">
        <v>246</v>
      </c>
      <c r="G37" s="28">
        <v>8.2626554488349981</v>
      </c>
    </row>
    <row r="38" spans="2:7" x14ac:dyDescent="0.25">
      <c r="B38" s="10" t="s">
        <v>207</v>
      </c>
      <c r="C38" s="27">
        <v>0.17499999999999999</v>
      </c>
      <c r="D38" s="10">
        <v>2021</v>
      </c>
      <c r="F38" s="10" t="s">
        <v>351</v>
      </c>
      <c r="G38" s="28">
        <v>7.720284608038293</v>
      </c>
    </row>
    <row r="39" spans="2:7" x14ac:dyDescent="0.25">
      <c r="B39" s="10" t="s">
        <v>201</v>
      </c>
      <c r="C39" s="27">
        <v>0.105461</v>
      </c>
      <c r="D39" s="10">
        <v>2021</v>
      </c>
      <c r="F39" s="10" t="s">
        <v>168</v>
      </c>
      <c r="G39" s="28">
        <v>7.4693344000000002</v>
      </c>
    </row>
    <row r="40" spans="2:7" x14ac:dyDescent="0.25">
      <c r="B40" s="10" t="s">
        <v>193</v>
      </c>
      <c r="C40" s="27">
        <v>0.1</v>
      </c>
      <c r="D40" s="10">
        <v>2021</v>
      </c>
      <c r="F40" s="10" t="s">
        <v>247</v>
      </c>
      <c r="G40" s="28">
        <v>6.9714939999999999</v>
      </c>
    </row>
    <row r="41" spans="2:7" x14ac:dyDescent="0.25">
      <c r="B41" s="10" t="s">
        <v>208</v>
      </c>
      <c r="C41" s="27">
        <v>0.06</v>
      </c>
      <c r="D41" s="10">
        <v>2021</v>
      </c>
      <c r="F41" s="10" t="s">
        <v>241</v>
      </c>
      <c r="G41" s="28">
        <v>6.0668949671772427</v>
      </c>
    </row>
    <row r="42" spans="2:7" x14ac:dyDescent="0.25">
      <c r="B42" s="10" t="s">
        <v>209</v>
      </c>
      <c r="C42" s="27">
        <v>0.05</v>
      </c>
      <c r="D42" s="10">
        <v>2021</v>
      </c>
      <c r="F42" s="10" t="s">
        <v>348</v>
      </c>
      <c r="G42" s="28">
        <v>5.6694940160832541</v>
      </c>
    </row>
    <row r="43" spans="2:7" x14ac:dyDescent="0.25">
      <c r="B43" s="10" t="s">
        <v>210</v>
      </c>
      <c r="C43" s="27">
        <v>0.05</v>
      </c>
      <c r="D43" s="10">
        <v>2021</v>
      </c>
      <c r="F43" s="10" t="s">
        <v>349</v>
      </c>
      <c r="G43" s="28">
        <v>5.1377719962157054</v>
      </c>
    </row>
    <row r="44" spans="2:7" x14ac:dyDescent="0.25">
      <c r="B44" s="10" t="s">
        <v>211</v>
      </c>
      <c r="C44" s="27">
        <v>4.6005999999999998E-2</v>
      </c>
      <c r="D44" s="10">
        <v>2021</v>
      </c>
      <c r="F44" s="10" t="s">
        <v>188</v>
      </c>
      <c r="G44" s="28">
        <v>26.508059091708265</v>
      </c>
    </row>
    <row r="45" spans="2:7" x14ac:dyDescent="0.25">
      <c r="B45" s="10" t="s">
        <v>212</v>
      </c>
      <c r="C45" s="27">
        <v>4.5329000000000001E-2</v>
      </c>
      <c r="D45" s="10">
        <v>2021</v>
      </c>
    </row>
    <row r="46" spans="2:7" x14ac:dyDescent="0.25">
      <c r="B46" s="10" t="s">
        <v>170</v>
      </c>
      <c r="C46" s="27">
        <v>4.3999999999999997E-2</v>
      </c>
      <c r="D46" s="10">
        <v>2021</v>
      </c>
    </row>
    <row r="47" spans="2:7" x14ac:dyDescent="0.25">
      <c r="B47" s="10" t="s">
        <v>213</v>
      </c>
      <c r="C47" s="27">
        <v>3.8559999999999997E-2</v>
      </c>
      <c r="D47" s="10">
        <v>2021</v>
      </c>
    </row>
    <row r="48" spans="2:7" x14ac:dyDescent="0.25">
      <c r="B48" s="10" t="s">
        <v>214</v>
      </c>
      <c r="C48" s="27">
        <v>0.03</v>
      </c>
      <c r="D48" s="10">
        <v>2021</v>
      </c>
    </row>
    <row r="49" spans="2:4" x14ac:dyDescent="0.25">
      <c r="B49" s="10" t="s">
        <v>215</v>
      </c>
      <c r="C49" s="27">
        <v>2.5000000000000001E-2</v>
      </c>
      <c r="D49" s="10">
        <v>2021</v>
      </c>
    </row>
    <row r="50" spans="2:4" x14ac:dyDescent="0.25">
      <c r="B50" s="10" t="s">
        <v>216</v>
      </c>
      <c r="C50" s="27">
        <v>2.4E-2</v>
      </c>
      <c r="D50" s="10">
        <v>2021</v>
      </c>
    </row>
    <row r="51" spans="2:4" x14ac:dyDescent="0.25">
      <c r="B51" s="10" t="s">
        <v>202</v>
      </c>
      <c r="C51" s="27">
        <v>1.6250000000000001E-2</v>
      </c>
      <c r="D51" s="10">
        <v>2021</v>
      </c>
    </row>
    <row r="52" spans="2:4" x14ac:dyDescent="0.25">
      <c r="B52" s="10" t="s">
        <v>217</v>
      </c>
      <c r="C52" s="27">
        <v>1.4999999999999999E-2</v>
      </c>
      <c r="D52" s="10">
        <v>2021</v>
      </c>
    </row>
    <row r="53" spans="2:4" x14ac:dyDescent="0.25">
      <c r="B53" s="10" t="s">
        <v>218</v>
      </c>
      <c r="C53" s="27">
        <v>1.4999999999999999E-2</v>
      </c>
      <c r="D53" s="10">
        <v>2021</v>
      </c>
    </row>
    <row r="54" spans="2:4" x14ac:dyDescent="0.25">
      <c r="B54" s="10" t="s">
        <v>219</v>
      </c>
      <c r="C54" s="27">
        <v>1.4999999999999999E-2</v>
      </c>
      <c r="D54" s="10">
        <v>2021</v>
      </c>
    </row>
    <row r="55" spans="2:4" x14ac:dyDescent="0.25">
      <c r="B55" s="10" t="s">
        <v>220</v>
      </c>
      <c r="C55" s="27">
        <v>1.0999999999999999E-2</v>
      </c>
      <c r="D55" s="10">
        <v>2021</v>
      </c>
    </row>
    <row r="56" spans="2:4" x14ac:dyDescent="0.25">
      <c r="B56" s="10" t="s">
        <v>221</v>
      </c>
      <c r="C56" s="27">
        <v>0.01</v>
      </c>
      <c r="D56" s="10">
        <v>2021</v>
      </c>
    </row>
    <row r="57" spans="2:4" x14ac:dyDescent="0.25">
      <c r="B57" s="10" t="s">
        <v>222</v>
      </c>
      <c r="C57" s="27">
        <v>0.01</v>
      </c>
      <c r="D57" s="10">
        <v>2021</v>
      </c>
    </row>
    <row r="58" spans="2:4" x14ac:dyDescent="0.25">
      <c r="B58" s="10" t="s">
        <v>223</v>
      </c>
      <c r="C58" s="27">
        <v>0.01</v>
      </c>
      <c r="D58" s="10">
        <v>2021</v>
      </c>
    </row>
    <row r="59" spans="2:4" x14ac:dyDescent="0.25">
      <c r="B59" s="10" t="s">
        <v>224</v>
      </c>
      <c r="C59" s="27">
        <v>0.01</v>
      </c>
      <c r="D59" s="10">
        <v>2021</v>
      </c>
    </row>
    <row r="60" spans="2:4" x14ac:dyDescent="0.25">
      <c r="B60" s="10" t="s">
        <v>225</v>
      </c>
      <c r="C60" s="27">
        <v>0.01</v>
      </c>
      <c r="D60" s="10">
        <v>2021</v>
      </c>
    </row>
    <row r="61" spans="2:4" x14ac:dyDescent="0.25">
      <c r="B61" s="10" t="s">
        <v>226</v>
      </c>
      <c r="C61" s="27">
        <v>9.7999999999999997E-3</v>
      </c>
      <c r="D61" s="10">
        <v>2021</v>
      </c>
    </row>
    <row r="62" spans="2:4" x14ac:dyDescent="0.25">
      <c r="B62" s="10" t="s">
        <v>227</v>
      </c>
      <c r="C62" s="27">
        <v>6.0000000000000001E-3</v>
      </c>
      <c r="D62" s="10">
        <v>2021</v>
      </c>
    </row>
    <row r="63" spans="2:4" x14ac:dyDescent="0.25">
      <c r="B63" s="10" t="s">
        <v>228</v>
      </c>
      <c r="C63" s="27">
        <v>5.0000000000000001E-3</v>
      </c>
      <c r="D63" s="10">
        <v>2021</v>
      </c>
    </row>
    <row r="64" spans="2:4" x14ac:dyDescent="0.25">
      <c r="B64" s="10" t="s">
        <v>229</v>
      </c>
      <c r="C64" s="27">
        <v>5.0000000000000001E-3</v>
      </c>
      <c r="D64" s="10">
        <v>2021</v>
      </c>
    </row>
    <row r="65" spans="2:4" x14ac:dyDescent="0.25">
      <c r="B65" s="10" t="s">
        <v>230</v>
      </c>
      <c r="C65" s="27">
        <v>4.7999999999999996E-3</v>
      </c>
      <c r="D65" s="10">
        <v>2021</v>
      </c>
    </row>
    <row r="66" spans="2:4" x14ac:dyDescent="0.25">
      <c r="B66" s="10" t="s">
        <v>231</v>
      </c>
      <c r="C66" s="27">
        <v>4.0000000000000001E-3</v>
      </c>
      <c r="D66" s="10">
        <v>2021</v>
      </c>
    </row>
    <row r="67" spans="2:4" x14ac:dyDescent="0.25">
      <c r="B67" s="10" t="s">
        <v>232</v>
      </c>
      <c r="C67" s="27">
        <v>2.5000000000000001E-3</v>
      </c>
      <c r="D67" s="10">
        <v>2021</v>
      </c>
    </row>
    <row r="68" spans="2:4" x14ac:dyDescent="0.25">
      <c r="B68" s="10" t="s">
        <v>233</v>
      </c>
      <c r="C68" s="27">
        <v>5.0000000000000001E-4</v>
      </c>
      <c r="D68" s="10">
        <v>2021</v>
      </c>
    </row>
    <row r="69" spans="2:4" x14ac:dyDescent="0.25">
      <c r="B69" s="10" t="s">
        <v>234</v>
      </c>
      <c r="C69" s="27">
        <v>2.5000000000000001E-4</v>
      </c>
      <c r="D69" s="10">
        <v>2021</v>
      </c>
    </row>
    <row r="70" spans="2:4" x14ac:dyDescent="0.25">
      <c r="B70" s="10" t="s">
        <v>235</v>
      </c>
      <c r="C70" s="27">
        <v>2.5000000000000001E-4</v>
      </c>
      <c r="D70" s="10">
        <v>2021</v>
      </c>
    </row>
    <row r="71" spans="2:4" x14ac:dyDescent="0.25">
      <c r="B71" s="10" t="s">
        <v>236</v>
      </c>
      <c r="C71" s="27">
        <v>2.0000000000000001E-4</v>
      </c>
      <c r="D71" s="10">
        <v>2021</v>
      </c>
    </row>
    <row r="72" spans="2:4" x14ac:dyDescent="0.25">
      <c r="B72" s="10" t="s">
        <v>237</v>
      </c>
      <c r="C72" s="27">
        <v>2.5000000000000001E-5</v>
      </c>
      <c r="D72" s="10">
        <v>2021</v>
      </c>
    </row>
    <row r="73" spans="2:4" x14ac:dyDescent="0.25">
      <c r="B73" s="25" t="s">
        <v>163</v>
      </c>
      <c r="C73" s="29">
        <v>419.90122142519516</v>
      </c>
      <c r="D73" s="10"/>
    </row>
    <row r="75" spans="2:4" x14ac:dyDescent="0.25">
      <c r="B75" s="1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C7A8-7AB8-4D48-B8A0-05332A16563F}">
  <dimension ref="A2:EV211"/>
  <sheetViews>
    <sheetView zoomScale="80" zoomScaleNormal="80" workbookViewId="0">
      <selection activeCell="B3" sqref="B3"/>
    </sheetView>
  </sheetViews>
  <sheetFormatPr defaultRowHeight="15" x14ac:dyDescent="0.25"/>
  <cols>
    <col min="2" max="2" width="34.85546875" customWidth="1"/>
    <col min="3" max="3" width="25.140625" style="5" customWidth="1"/>
    <col min="4" max="4" width="16" style="5" bestFit="1" customWidth="1"/>
    <col min="5" max="5" width="13.5703125" customWidth="1"/>
    <col min="6" max="6" width="17.140625" bestFit="1" customWidth="1"/>
    <col min="7" max="7" width="21.7109375" bestFit="1" customWidth="1"/>
    <col min="8" max="8" width="35.7109375" bestFit="1" customWidth="1"/>
    <col min="9" max="9" width="19.5703125" bestFit="1" customWidth="1"/>
    <col min="10" max="10" width="32.42578125" bestFit="1" customWidth="1"/>
    <col min="11" max="11" width="11.140625" bestFit="1" customWidth="1"/>
    <col min="12" max="12" width="10.140625" bestFit="1" customWidth="1"/>
    <col min="13" max="13" width="16.42578125" bestFit="1" customWidth="1"/>
    <col min="14" max="14" width="6.85546875" bestFit="1" customWidth="1"/>
    <col min="15" max="15" width="7.7109375" bestFit="1" customWidth="1"/>
    <col min="16" max="16" width="7.5703125" bestFit="1" customWidth="1"/>
    <col min="17" max="17" width="12" bestFit="1" customWidth="1"/>
    <col min="18" max="18" width="11.42578125" bestFit="1" customWidth="1"/>
    <col min="19" max="19" width="22.42578125" bestFit="1" customWidth="1"/>
    <col min="20" max="20" width="20" bestFit="1" customWidth="1"/>
    <col min="21" max="21" width="9.42578125" bestFit="1" customWidth="1"/>
    <col min="22" max="22" width="8.28515625" bestFit="1" customWidth="1"/>
    <col min="23" max="23" width="31.5703125" bestFit="1" customWidth="1"/>
    <col min="24" max="24" width="8" bestFit="1" customWidth="1"/>
    <col min="25" max="25" width="20.140625" bestFit="1" customWidth="1"/>
    <col min="26" max="26" width="7.42578125" bestFit="1" customWidth="1"/>
    <col min="27" max="27" width="12" bestFit="1" customWidth="1"/>
    <col min="28" max="28" width="14.5703125" bestFit="1" customWidth="1"/>
    <col min="29" max="29" width="32.140625" bestFit="1" customWidth="1"/>
    <col min="30" max="30" width="23.42578125" bestFit="1" customWidth="1"/>
    <col min="31" max="31" width="24.85546875" bestFit="1" customWidth="1"/>
    <col min="32" max="32" width="12" bestFit="1" customWidth="1"/>
    <col min="33" max="33" width="12.140625" bestFit="1" customWidth="1"/>
    <col min="34" max="34" width="8.28515625" bestFit="1" customWidth="1"/>
    <col min="35" max="35" width="12" bestFit="1" customWidth="1"/>
    <col min="36" max="36" width="13.140625" bestFit="1" customWidth="1"/>
    <col min="37" max="37" width="8.140625" bestFit="1" customWidth="1"/>
    <col min="38" max="38" width="7.140625" bestFit="1" customWidth="1"/>
    <col min="39" max="39" width="7.5703125" bestFit="1" customWidth="1"/>
    <col min="40" max="40" width="31.42578125" bestFit="1" customWidth="1"/>
    <col min="41" max="41" width="28" bestFit="1" customWidth="1"/>
    <col min="42" max="42" width="8.7109375" bestFit="1" customWidth="1"/>
    <col min="43" max="43" width="48.85546875" bestFit="1" customWidth="1"/>
    <col min="44" max="44" width="10.5703125" bestFit="1" customWidth="1"/>
    <col min="45" max="46" width="7.42578125" bestFit="1" customWidth="1"/>
    <col min="47" max="47" width="12.5703125" bestFit="1" customWidth="1"/>
    <col min="48" max="48" width="9.42578125" bestFit="1" customWidth="1"/>
    <col min="49" max="49" width="21.85546875" bestFit="1" customWidth="1"/>
    <col min="50" max="50" width="19.42578125" bestFit="1" customWidth="1"/>
    <col min="51" max="51" width="23.85546875" bestFit="1" customWidth="1"/>
    <col min="52" max="52" width="23.42578125" bestFit="1" customWidth="1"/>
    <col min="53" max="53" width="13.140625" bestFit="1" customWidth="1"/>
    <col min="54" max="54" width="12.42578125" bestFit="1" customWidth="1"/>
    <col min="55" max="55" width="11.7109375" bestFit="1" customWidth="1"/>
    <col min="56" max="56" width="35.7109375" bestFit="1" customWidth="1"/>
    <col min="57" max="57" width="51" bestFit="1" customWidth="1"/>
    <col min="58" max="58" width="31.140625" bestFit="1" customWidth="1"/>
    <col min="59" max="59" width="25" bestFit="1" customWidth="1"/>
    <col min="60" max="60" width="34.7109375" bestFit="1" customWidth="1"/>
    <col min="61" max="61" width="17.7109375" bestFit="1" customWidth="1"/>
    <col min="62" max="62" width="22.5703125" bestFit="1" customWidth="1"/>
    <col min="63" max="63" width="8" bestFit="1" customWidth="1"/>
    <col min="64" max="64" width="16.7109375" bestFit="1" customWidth="1"/>
    <col min="65" max="65" width="9.7109375" bestFit="1" customWidth="1"/>
    <col min="66" max="66" width="26" bestFit="1" customWidth="1"/>
    <col min="67" max="67" width="7.7109375" bestFit="1" customWidth="1"/>
    <col min="68" max="68" width="7.140625" bestFit="1" customWidth="1"/>
    <col min="69" max="69" width="9.7109375" bestFit="1" customWidth="1"/>
    <col min="70" max="70" width="10.42578125" bestFit="1" customWidth="1"/>
    <col min="71" max="71" width="7.5703125" bestFit="1" customWidth="1"/>
    <col min="72" max="72" width="6.140625" bestFit="1" customWidth="1"/>
    <col min="73" max="73" width="7" bestFit="1" customWidth="1"/>
    <col min="74" max="74" width="22.42578125" bestFit="1" customWidth="1"/>
    <col min="75" max="75" width="9.5703125" bestFit="1" customWidth="1"/>
    <col min="76" max="76" width="9.85546875" bestFit="1" customWidth="1"/>
    <col min="77" max="77" width="20.140625" bestFit="1" customWidth="1"/>
    <col min="78" max="78" width="26.5703125" bestFit="1" customWidth="1"/>
    <col min="79" max="79" width="6.5703125" bestFit="1" customWidth="1"/>
    <col min="80" max="80" width="18.85546875" bestFit="1" customWidth="1"/>
    <col min="81" max="81" width="6.85546875" bestFit="1" customWidth="1"/>
    <col min="82" max="82" width="15.7109375" bestFit="1" customWidth="1"/>
    <col min="83" max="83" width="3.7109375" bestFit="1" customWidth="1"/>
    <col min="84" max="84" width="6.85546875" bestFit="1" customWidth="1"/>
    <col min="85" max="85" width="6.7109375" bestFit="1" customWidth="1"/>
    <col min="86" max="86" width="7.42578125" bestFit="1" customWidth="1"/>
    <col min="87" max="87" width="13.85546875" bestFit="1" customWidth="1"/>
    <col min="88" max="88" width="7.7109375" bestFit="1" customWidth="1"/>
    <col min="89" max="89" width="5.140625" bestFit="1" customWidth="1"/>
    <col min="90" max="90" width="7.85546875" bestFit="1" customWidth="1"/>
    <col min="91" max="91" width="10.85546875" bestFit="1" customWidth="1"/>
    <col min="92" max="92" width="10.42578125" bestFit="1" customWidth="1"/>
    <col min="93" max="93" width="31.42578125" bestFit="1" customWidth="1"/>
    <col min="94" max="94" width="7" bestFit="1" customWidth="1"/>
    <col min="95" max="95" width="11.42578125" bestFit="1" customWidth="1"/>
    <col min="96" max="96" width="21.7109375" bestFit="1" customWidth="1"/>
    <col min="97" max="97" width="8.85546875" bestFit="1" customWidth="1"/>
    <col min="98" max="98" width="9.42578125" bestFit="1" customWidth="1"/>
    <col min="99" max="99" width="12.140625" bestFit="1" customWidth="1"/>
    <col min="100" max="101" width="16.5703125" bestFit="1" customWidth="1"/>
    <col min="102" max="102" width="18.140625" bestFit="1" customWidth="1"/>
    <col min="103" max="103" width="9" bestFit="1" customWidth="1"/>
    <col min="104" max="104" width="31.28515625" bestFit="1" customWidth="1"/>
    <col min="105" max="105" width="8.140625" bestFit="1" customWidth="1"/>
    <col min="106" max="106" width="6.7109375" bestFit="1" customWidth="1"/>
    <col min="107" max="107" width="12.140625" bestFit="1" customWidth="1"/>
    <col min="108" max="108" width="19.140625" bestFit="1" customWidth="1"/>
    <col min="109" max="109" width="23.5703125" bestFit="1" customWidth="1"/>
    <col min="110" max="110" width="9.28515625" bestFit="1" customWidth="1"/>
    <col min="111" max="111" width="30.85546875" bestFit="1" customWidth="1"/>
    <col min="112" max="112" width="9.85546875" bestFit="1" customWidth="1"/>
    <col min="113" max="113" width="11.7109375" bestFit="1" customWidth="1"/>
    <col min="114" max="114" width="7.42578125" bestFit="1" customWidth="1"/>
    <col min="115" max="115" width="11" bestFit="1" customWidth="1"/>
    <col min="116" max="116" width="8.5703125" bestFit="1" customWidth="1"/>
    <col min="117" max="117" width="9.5703125" bestFit="1" customWidth="1"/>
    <col min="118" max="118" width="23.140625" bestFit="1" customWidth="1"/>
    <col min="119" max="119" width="18.140625" bestFit="1" customWidth="1"/>
    <col min="120" max="120" width="9.42578125" bestFit="1" customWidth="1"/>
    <col min="121" max="121" width="31.28515625" bestFit="1" customWidth="1"/>
    <col min="122" max="122" width="8.140625" bestFit="1" customWidth="1"/>
    <col min="123" max="123" width="6.7109375" bestFit="1" customWidth="1"/>
    <col min="124" max="124" width="12.140625" bestFit="1" customWidth="1"/>
    <col min="125" max="125" width="19.140625" bestFit="1" customWidth="1"/>
    <col min="126" max="126" width="23.5703125" bestFit="1" customWidth="1"/>
    <col min="127" max="127" width="9.28515625" bestFit="1" customWidth="1"/>
    <col min="128" max="128" width="30.85546875" bestFit="1" customWidth="1"/>
    <col min="129" max="129" width="9.85546875" bestFit="1" customWidth="1"/>
    <col min="130" max="130" width="11.7109375" bestFit="1" customWidth="1"/>
    <col min="131" max="131" width="7.42578125" bestFit="1" customWidth="1"/>
    <col min="132" max="132" width="11" bestFit="1" customWidth="1"/>
    <col min="133" max="133" width="8.5703125" bestFit="1" customWidth="1"/>
    <col min="134" max="134" width="9.5703125" bestFit="1" customWidth="1"/>
    <col min="135" max="135" width="23.140625" bestFit="1" customWidth="1"/>
    <col min="136" max="136" width="7.7109375" bestFit="1" customWidth="1"/>
    <col min="137" max="137" width="10.5703125" bestFit="1" customWidth="1"/>
    <col min="138" max="138" width="18.5703125" bestFit="1" customWidth="1"/>
    <col min="139" max="139" width="8" bestFit="1" customWidth="1"/>
    <col min="140" max="140" width="21.28515625" bestFit="1" customWidth="1"/>
    <col min="141" max="141" width="7.85546875" bestFit="1" customWidth="1"/>
    <col min="142" max="142" width="6.42578125" bestFit="1" customWidth="1"/>
    <col min="143" max="143" width="6.28515625" bestFit="1" customWidth="1"/>
    <col min="144" max="144" width="10.140625" bestFit="1" customWidth="1"/>
    <col min="145" max="145" width="6" bestFit="1" customWidth="1"/>
    <col min="146" max="146" width="12.7109375" bestFit="1" customWidth="1"/>
    <col min="147" max="147" width="10.28515625" bestFit="1" customWidth="1"/>
    <col min="148" max="149" width="8.140625" bestFit="1" customWidth="1"/>
    <col min="150" max="150" width="5.85546875" bestFit="1" customWidth="1"/>
    <col min="151" max="151" width="11" bestFit="1" customWidth="1"/>
    <col min="152" max="152" width="7.28515625" bestFit="1" customWidth="1"/>
  </cols>
  <sheetData>
    <row r="2" spans="2:20" s="33" customFormat="1" x14ac:dyDescent="0.25">
      <c r="B2" s="32" t="s">
        <v>451</v>
      </c>
    </row>
    <row r="4" spans="2:20" x14ac:dyDescent="0.25">
      <c r="B4" s="6" t="s">
        <v>436</v>
      </c>
    </row>
    <row r="5" spans="2:20" ht="15" customHeight="1" x14ac:dyDescent="0.25"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2:20" ht="15" customHeight="1" x14ac:dyDescent="0.25">
      <c r="B6" s="16" t="s">
        <v>437</v>
      </c>
      <c r="C6" s="17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2:20" ht="15" customHeight="1" x14ac:dyDescent="0.25">
      <c r="B7" s="30"/>
      <c r="C7" s="30" t="s">
        <v>248</v>
      </c>
      <c r="D7" s="30" t="s">
        <v>249</v>
      </c>
      <c r="F7" s="18"/>
      <c r="G7" s="18"/>
      <c r="H7" s="18"/>
      <c r="I7" s="18"/>
      <c r="J7" s="18"/>
      <c r="K7" s="18"/>
      <c r="L7" s="18"/>
      <c r="M7" s="18"/>
      <c r="N7" s="18"/>
    </row>
    <row r="8" spans="2:20" ht="15" customHeight="1" x14ac:dyDescent="0.25">
      <c r="B8" s="10" t="s">
        <v>428</v>
      </c>
      <c r="C8" s="28">
        <v>2629.9034057589606</v>
      </c>
      <c r="D8" s="9">
        <v>1</v>
      </c>
      <c r="F8" s="18"/>
      <c r="G8" s="18"/>
      <c r="H8" s="18"/>
      <c r="I8" s="18"/>
      <c r="J8" s="18"/>
      <c r="K8" s="18"/>
      <c r="L8" s="18"/>
      <c r="M8" s="18"/>
      <c r="N8" s="18"/>
    </row>
    <row r="9" spans="2:20" ht="15" customHeight="1" x14ac:dyDescent="0.25">
      <c r="B9" s="10" t="s">
        <v>250</v>
      </c>
      <c r="C9" s="28">
        <v>2292.8158835793201</v>
      </c>
      <c r="D9" s="9">
        <v>0.87182513188830946</v>
      </c>
      <c r="E9" s="34"/>
      <c r="F9" s="18"/>
      <c r="I9" s="18"/>
      <c r="J9" s="18"/>
      <c r="K9" s="18"/>
      <c r="L9" s="18"/>
      <c r="M9" s="18"/>
      <c r="N9" s="18"/>
      <c r="O9" s="18"/>
      <c r="P9" s="18"/>
      <c r="Q9" s="18"/>
    </row>
    <row r="10" spans="2:20" ht="15" customHeight="1" x14ac:dyDescent="0.25">
      <c r="B10" s="10" t="s">
        <v>251</v>
      </c>
      <c r="C10" s="28">
        <v>323.4198657543385</v>
      </c>
      <c r="D10" s="9">
        <v>0.12297784969824896</v>
      </c>
      <c r="E10" s="18"/>
      <c r="F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2:20" ht="15" customHeight="1" x14ac:dyDescent="0.25">
      <c r="B11" s="10" t="s">
        <v>252</v>
      </c>
      <c r="C11" s="28">
        <v>13.273893393138939</v>
      </c>
      <c r="D11" s="9">
        <v>5.0472931302616578E-3</v>
      </c>
      <c r="E11" s="18"/>
      <c r="F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2:20" ht="15" customHeight="1" x14ac:dyDescent="0.25">
      <c r="B12" s="10" t="s">
        <v>253</v>
      </c>
      <c r="C12" s="28">
        <v>0</v>
      </c>
      <c r="D12" s="9">
        <v>0</v>
      </c>
      <c r="E12" s="18"/>
      <c r="F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2:20" ht="15" customHeight="1" x14ac:dyDescent="0.25">
      <c r="B13" s="10" t="s">
        <v>254</v>
      </c>
      <c r="C13" s="28">
        <v>0</v>
      </c>
      <c r="D13" s="9">
        <v>0</v>
      </c>
      <c r="E13" s="18"/>
      <c r="F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2:20" ht="15" customHeight="1" x14ac:dyDescent="0.25">
      <c r="B14" s="18"/>
      <c r="C14" s="19"/>
      <c r="D14" s="20"/>
      <c r="E14" s="18"/>
      <c r="F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2:20" ht="15" customHeight="1" x14ac:dyDescent="0.25">
      <c r="B15" s="18"/>
      <c r="C15" s="19"/>
      <c r="D15" s="20"/>
      <c r="E15" s="18"/>
      <c r="F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2:20" ht="15" customHeight="1" x14ac:dyDescent="0.25">
      <c r="B16" s="16" t="s">
        <v>438</v>
      </c>
      <c r="C16" s="17"/>
      <c r="D16" s="20"/>
      <c r="E16" s="18"/>
      <c r="F16" s="18"/>
      <c r="H16" s="21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152" ht="15" customHeight="1" x14ac:dyDescent="0.25">
      <c r="B17" s="30"/>
      <c r="C17" s="30" t="s">
        <v>248</v>
      </c>
      <c r="D17" s="20"/>
      <c r="E17" s="18"/>
      <c r="F17" s="18"/>
      <c r="H17" s="21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152" ht="15" customHeight="1" x14ac:dyDescent="0.25">
      <c r="B18" s="10" t="s">
        <v>428</v>
      </c>
      <c r="C18" s="28">
        <v>2629.9034057589606</v>
      </c>
      <c r="D18" s="20"/>
      <c r="E18" s="18"/>
      <c r="F18" s="18"/>
      <c r="H18" s="21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152" ht="15" customHeight="1" x14ac:dyDescent="0.25">
      <c r="B19" s="10" t="s">
        <v>426</v>
      </c>
      <c r="C19" s="28">
        <v>1643.4437133091603</v>
      </c>
      <c r="D19" s="20"/>
      <c r="E19" s="18"/>
      <c r="F19" s="18"/>
      <c r="H19" s="21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152" ht="15" customHeight="1" x14ac:dyDescent="0.25">
      <c r="B20" s="10" t="s">
        <v>427</v>
      </c>
      <c r="C20" s="28">
        <v>291.18071390483703</v>
      </c>
      <c r="D20" s="20"/>
      <c r="E20" s="18"/>
      <c r="F20" s="18"/>
      <c r="H20" s="2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152" ht="15" customHeight="1" x14ac:dyDescent="0.25">
      <c r="B21" s="10" t="s">
        <v>255</v>
      </c>
      <c r="C21" s="28">
        <v>215.36500175036451</v>
      </c>
      <c r="D21" s="20"/>
      <c r="E21" s="18"/>
      <c r="F21" s="18"/>
      <c r="H21" s="21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152" ht="15" customHeight="1" x14ac:dyDescent="0.25">
      <c r="B22" s="10" t="s">
        <v>256</v>
      </c>
      <c r="C22" s="28">
        <v>16.395749731476396</v>
      </c>
      <c r="D22" s="20"/>
      <c r="E22" s="18"/>
      <c r="F22" s="18"/>
      <c r="H22" s="21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152" ht="15" customHeight="1" x14ac:dyDescent="0.25">
      <c r="B23" s="10" t="s">
        <v>257</v>
      </c>
      <c r="C23" s="28">
        <v>463.51822706312362</v>
      </c>
      <c r="D23" s="20"/>
      <c r="E23" s="18"/>
      <c r="F23" s="18"/>
      <c r="H23" s="21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152" ht="15" customHeight="1" x14ac:dyDescent="0.25">
      <c r="B24" s="18"/>
      <c r="C24" s="19"/>
      <c r="D24" s="20"/>
      <c r="E24" s="18"/>
      <c r="F24" s="37"/>
      <c r="H24" s="21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pans="1:152" ht="15" customHeight="1" x14ac:dyDescent="0.25">
      <c r="B25" s="18"/>
      <c r="C25" s="19"/>
      <c r="D25" s="20"/>
      <c r="E25" s="18"/>
      <c r="F25" s="18"/>
      <c r="H25" s="21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152" ht="15" customHeight="1" x14ac:dyDescent="0.25">
      <c r="B26" s="16" t="s">
        <v>439</v>
      </c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152" s="3" customFormat="1" ht="15" customHeight="1" x14ac:dyDescent="0.25">
      <c r="A27"/>
      <c r="B27" s="30"/>
      <c r="C27" s="30" t="s">
        <v>319</v>
      </c>
      <c r="D27" s="30" t="s">
        <v>258</v>
      </c>
      <c r="E27" s="30" t="s">
        <v>44</v>
      </c>
      <c r="F27" s="30" t="s">
        <v>53</v>
      </c>
      <c r="G27" s="30" t="s">
        <v>259</v>
      </c>
      <c r="H27" s="30" t="s">
        <v>260</v>
      </c>
      <c r="I27" s="30" t="s">
        <v>113</v>
      </c>
      <c r="J27" s="30" t="s">
        <v>76</v>
      </c>
      <c r="K27" s="30" t="s">
        <v>11</v>
      </c>
      <c r="L27" s="30" t="s">
        <v>103</v>
      </c>
      <c r="M27" s="30" t="s">
        <v>89</v>
      </c>
      <c r="N27" s="30" t="s">
        <v>48</v>
      </c>
      <c r="O27" s="30" t="s">
        <v>117</v>
      </c>
      <c r="P27" s="30" t="s">
        <v>71</v>
      </c>
      <c r="Q27" s="30" t="s">
        <v>132</v>
      </c>
      <c r="R27" s="30" t="s">
        <v>41</v>
      </c>
      <c r="S27" s="30" t="s">
        <v>134</v>
      </c>
      <c r="T27" s="30" t="s">
        <v>261</v>
      </c>
      <c r="U27" s="30" t="s">
        <v>18</v>
      </c>
      <c r="V27" s="30" t="s">
        <v>129</v>
      </c>
      <c r="W27" s="30" t="s">
        <v>106</v>
      </c>
      <c r="X27" s="30" t="s">
        <v>121</v>
      </c>
      <c r="Y27" s="30" t="s">
        <v>74</v>
      </c>
      <c r="Z27" s="30" t="s">
        <v>149</v>
      </c>
      <c r="AA27" s="30" t="s">
        <v>140</v>
      </c>
      <c r="AB27" s="30" t="s">
        <v>263</v>
      </c>
      <c r="AC27" s="30" t="s">
        <v>137</v>
      </c>
      <c r="AD27" s="30" t="s">
        <v>264</v>
      </c>
      <c r="AE27" s="30" t="s">
        <v>94</v>
      </c>
      <c r="AF27" s="30" t="s">
        <v>116</v>
      </c>
      <c r="AG27" s="30" t="s">
        <v>123</v>
      </c>
      <c r="AH27" s="30" t="s">
        <v>110</v>
      </c>
      <c r="AI27" s="30" t="s">
        <v>150</v>
      </c>
      <c r="AJ27" s="30" t="s">
        <v>67</v>
      </c>
      <c r="AK27" s="30" t="s">
        <v>136</v>
      </c>
      <c r="AL27" s="30" t="s">
        <v>77</v>
      </c>
      <c r="AM27" s="30" t="s">
        <v>130</v>
      </c>
      <c r="AN27" s="30" t="s">
        <v>146</v>
      </c>
      <c r="AO27" s="30" t="s">
        <v>265</v>
      </c>
      <c r="AP27" s="30" t="s">
        <v>124</v>
      </c>
      <c r="AQ27" s="30" t="s">
        <v>266</v>
      </c>
      <c r="AR27" s="30" t="s">
        <v>148</v>
      </c>
      <c r="AS27" s="30" t="s">
        <v>267</v>
      </c>
      <c r="AT27" s="30" t="s">
        <v>3</v>
      </c>
      <c r="AU27" s="30" t="s">
        <v>142</v>
      </c>
      <c r="AV27" s="30" t="s">
        <v>156</v>
      </c>
      <c r="AW27" s="30" t="s">
        <v>268</v>
      </c>
      <c r="AX27" s="30" t="s">
        <v>39</v>
      </c>
      <c r="AY27" s="30" t="s">
        <v>269</v>
      </c>
      <c r="AZ27" s="30" t="s">
        <v>270</v>
      </c>
      <c r="BA27" s="30" t="s">
        <v>271</v>
      </c>
      <c r="BB27" s="30" t="s">
        <v>272</v>
      </c>
      <c r="BC27" s="30" t="s">
        <v>85</v>
      </c>
      <c r="BD27" s="30" t="s">
        <v>273</v>
      </c>
      <c r="BE27" s="30" t="s">
        <v>29</v>
      </c>
      <c r="BF27" s="30" t="s">
        <v>35</v>
      </c>
      <c r="BG27" s="30" t="s">
        <v>6</v>
      </c>
      <c r="BH27" s="30" t="s">
        <v>64</v>
      </c>
      <c r="BI27" s="30" t="s">
        <v>274</v>
      </c>
      <c r="BJ27" s="30" t="s">
        <v>275</v>
      </c>
      <c r="BK27" s="30" t="s">
        <v>23</v>
      </c>
      <c r="BL27" s="30" t="s">
        <v>276</v>
      </c>
      <c r="BM27" s="30" t="s">
        <v>37</v>
      </c>
      <c r="BN27" s="30" t="s">
        <v>1</v>
      </c>
      <c r="BO27" s="30" t="s">
        <v>2</v>
      </c>
      <c r="BP27" s="30" t="s">
        <v>101</v>
      </c>
      <c r="BQ27" s="30" t="s">
        <v>5</v>
      </c>
      <c r="BR27" s="30" t="s">
        <v>9</v>
      </c>
      <c r="BS27" s="30" t="s">
        <v>13</v>
      </c>
      <c r="BT27" s="30" t="s">
        <v>122</v>
      </c>
      <c r="BU27" s="30" t="s">
        <v>277</v>
      </c>
      <c r="BV27" s="30" t="s">
        <v>16</v>
      </c>
      <c r="BW27" s="30" t="s">
        <v>102</v>
      </c>
      <c r="BX27" s="30" t="s">
        <v>155</v>
      </c>
      <c r="BY27" s="30" t="s">
        <v>278</v>
      </c>
      <c r="BZ27" s="30" t="s">
        <v>279</v>
      </c>
      <c r="CA27" s="30" t="s">
        <v>105</v>
      </c>
      <c r="CB27" s="30" t="s">
        <v>280</v>
      </c>
      <c r="CC27" s="30" t="s">
        <v>151</v>
      </c>
      <c r="CD27" s="30" t="s">
        <v>281</v>
      </c>
      <c r="CE27" s="30" t="s">
        <v>26</v>
      </c>
      <c r="CF27" s="30" t="s">
        <v>126</v>
      </c>
      <c r="CG27" s="30" t="s">
        <v>115</v>
      </c>
      <c r="CH27" s="30" t="s">
        <v>128</v>
      </c>
      <c r="CI27" s="30" t="s">
        <v>127</v>
      </c>
      <c r="CJ27" s="30" t="s">
        <v>144</v>
      </c>
      <c r="CK27" s="30" t="s">
        <v>167</v>
      </c>
      <c r="CL27" s="30" t="s">
        <v>152</v>
      </c>
      <c r="CM27" s="30" t="s">
        <v>47</v>
      </c>
      <c r="CN27" s="30" t="s">
        <v>50</v>
      </c>
      <c r="CO27" s="30" t="s">
        <v>282</v>
      </c>
      <c r="CP27" s="30" t="s">
        <v>139</v>
      </c>
      <c r="CQ27" s="30" t="s">
        <v>60</v>
      </c>
      <c r="CR27" s="30" t="s">
        <v>283</v>
      </c>
      <c r="CS27" s="30" t="s">
        <v>284</v>
      </c>
      <c r="CT27" s="30" t="s">
        <v>66</v>
      </c>
      <c r="CU27" s="30" t="s">
        <v>65</v>
      </c>
      <c r="CV27" s="30" t="s">
        <v>61</v>
      </c>
      <c r="CW27" s="30" t="s">
        <v>285</v>
      </c>
      <c r="CX27" s="30" t="s">
        <v>80</v>
      </c>
      <c r="CY27" s="30" t="s">
        <v>120</v>
      </c>
      <c r="CZ27" s="30" t="s">
        <v>158</v>
      </c>
      <c r="DA27" s="30" t="s">
        <v>131</v>
      </c>
      <c r="DB27" s="30" t="s">
        <v>286</v>
      </c>
      <c r="DC27" s="30" t="s">
        <v>153</v>
      </c>
      <c r="DD27" s="30" t="s">
        <v>287</v>
      </c>
      <c r="DE27" s="30" t="s">
        <v>288</v>
      </c>
      <c r="DF27" s="30" t="s">
        <v>56</v>
      </c>
      <c r="DG27" s="30" t="s">
        <v>289</v>
      </c>
      <c r="DH27" s="30" t="s">
        <v>95</v>
      </c>
      <c r="DI27" s="30" t="s">
        <v>290</v>
      </c>
      <c r="DJ27" s="30" t="s">
        <v>100</v>
      </c>
      <c r="DK27" s="30" t="s">
        <v>99</v>
      </c>
      <c r="DL27" s="30" t="s">
        <v>138</v>
      </c>
      <c r="DM27" s="30" t="s">
        <v>157</v>
      </c>
      <c r="DN27" s="30" t="s">
        <v>291</v>
      </c>
      <c r="DO27" s="30" t="s">
        <v>80</v>
      </c>
      <c r="DP27" s="30" t="s">
        <v>120</v>
      </c>
      <c r="DQ27" s="30" t="s">
        <v>158</v>
      </c>
      <c r="DR27" s="30" t="s">
        <v>131</v>
      </c>
      <c r="DS27" s="30" t="s">
        <v>286</v>
      </c>
      <c r="DT27" s="30" t="s">
        <v>153</v>
      </c>
      <c r="DU27" s="30" t="s">
        <v>287</v>
      </c>
      <c r="DV27" s="30" t="s">
        <v>288</v>
      </c>
      <c r="DW27" s="30" t="s">
        <v>56</v>
      </c>
      <c r="DX27" s="30" t="s">
        <v>289</v>
      </c>
      <c r="DY27" s="30" t="s">
        <v>95</v>
      </c>
      <c r="DZ27" s="30" t="s">
        <v>290</v>
      </c>
      <c r="EA27" s="30" t="s">
        <v>100</v>
      </c>
      <c r="EB27" s="30" t="s">
        <v>99</v>
      </c>
      <c r="EC27" s="30" t="s">
        <v>138</v>
      </c>
      <c r="ED27" s="30" t="s">
        <v>157</v>
      </c>
      <c r="EE27" s="30" t="s">
        <v>291</v>
      </c>
      <c r="EF27" s="30" t="s">
        <v>62</v>
      </c>
      <c r="EG27" s="30" t="s">
        <v>112</v>
      </c>
      <c r="EH27" s="30" t="s">
        <v>334</v>
      </c>
      <c r="EI27" s="30" t="s">
        <v>145</v>
      </c>
      <c r="EJ27" s="30" t="s">
        <v>328</v>
      </c>
      <c r="EK27" s="30" t="s">
        <v>111</v>
      </c>
      <c r="EL27" s="30" t="s">
        <v>69</v>
      </c>
      <c r="EM27" s="30" t="s">
        <v>14</v>
      </c>
      <c r="EN27" s="30" t="s">
        <v>147</v>
      </c>
      <c r="EO27" s="30" t="s">
        <v>20</v>
      </c>
      <c r="EP27" s="30" t="s">
        <v>109</v>
      </c>
      <c r="EQ27" s="30" t="s">
        <v>108</v>
      </c>
      <c r="ER27" s="30" t="s">
        <v>143</v>
      </c>
      <c r="ES27" s="30" t="s">
        <v>98</v>
      </c>
      <c r="ET27" s="30" t="s">
        <v>52</v>
      </c>
      <c r="EU27" s="30" t="s">
        <v>79</v>
      </c>
      <c r="EV27" s="30" t="s">
        <v>119</v>
      </c>
    </row>
    <row r="28" spans="1:152" s="3" customFormat="1" ht="15" customHeight="1" x14ac:dyDescent="0.25">
      <c r="A28"/>
      <c r="B28" s="10" t="s">
        <v>428</v>
      </c>
      <c r="C28" s="28">
        <v>622.48110058387704</v>
      </c>
      <c r="D28" s="28">
        <v>655.08791294655714</v>
      </c>
      <c r="E28" s="28">
        <v>480.94693748562287</v>
      </c>
      <c r="F28" s="28">
        <v>212.43805681602311</v>
      </c>
      <c r="G28" s="28">
        <v>74.869680303663515</v>
      </c>
      <c r="H28" s="28">
        <v>139.41588187049902</v>
      </c>
      <c r="I28" s="28">
        <v>45.780214180339684</v>
      </c>
      <c r="J28" s="28">
        <v>37.641000287271027</v>
      </c>
      <c r="K28" s="28">
        <v>37.880106692744889</v>
      </c>
      <c r="L28" s="28">
        <v>30.95727333268076</v>
      </c>
      <c r="M28" s="28">
        <v>26.828836715578635</v>
      </c>
      <c r="N28" s="28">
        <v>23.389021272742195</v>
      </c>
      <c r="O28" s="28">
        <v>28.001901657758246</v>
      </c>
      <c r="P28" s="28">
        <v>20.916808209129595</v>
      </c>
      <c r="Q28" s="28">
        <v>23.550991650647109</v>
      </c>
      <c r="R28" s="28">
        <v>19.484995092197043</v>
      </c>
      <c r="S28" s="28">
        <v>12.59016331136535</v>
      </c>
      <c r="T28" s="28">
        <v>13.711963933561593</v>
      </c>
      <c r="U28" s="28">
        <v>12.427052065599405</v>
      </c>
      <c r="V28" s="28">
        <v>9.8421617859573054</v>
      </c>
      <c r="W28" s="28">
        <v>12.037003052588185</v>
      </c>
      <c r="X28" s="28">
        <v>5.1601904986952452</v>
      </c>
      <c r="Y28" s="28">
        <v>4.3756239091711127</v>
      </c>
      <c r="Z28" s="28">
        <v>4.6328016640135088</v>
      </c>
      <c r="AA28" s="28">
        <v>4.1446050981687801</v>
      </c>
      <c r="AB28" s="28">
        <v>10.620902059148095</v>
      </c>
      <c r="AC28" s="28">
        <v>2.0255586363845555</v>
      </c>
      <c r="AD28" s="28">
        <v>3.0242090746133892</v>
      </c>
      <c r="AE28" s="28">
        <v>3.2657927005205698</v>
      </c>
      <c r="AF28" s="28">
        <v>2.6456679266042671</v>
      </c>
      <c r="AG28" s="28">
        <v>2.3807252814483486</v>
      </c>
      <c r="AH28" s="28">
        <v>2.421415309826636</v>
      </c>
      <c r="AI28" s="28">
        <v>1.9276360748181189</v>
      </c>
      <c r="AJ28" s="28">
        <v>1.4338995053403911</v>
      </c>
      <c r="AK28" s="28">
        <v>1.1635984826219987</v>
      </c>
      <c r="AL28" s="28">
        <v>1.1157624266396182</v>
      </c>
      <c r="AM28" s="28">
        <v>0.97720765015728406</v>
      </c>
      <c r="AN28" s="28">
        <v>0.88163100000000005</v>
      </c>
      <c r="AO28" s="28">
        <v>0.91872689399022478</v>
      </c>
      <c r="AP28" s="28">
        <v>0.45522805165143421</v>
      </c>
      <c r="AQ28" s="28">
        <v>0.66762479063919322</v>
      </c>
      <c r="AR28" s="28">
        <v>0.51988987151261568</v>
      </c>
      <c r="AS28" s="28">
        <v>0.81404101297488451</v>
      </c>
      <c r="AT28" s="28">
        <v>0.55440111553690663</v>
      </c>
      <c r="AU28" s="28">
        <v>0.33511118269305801</v>
      </c>
      <c r="AV28" s="28">
        <v>0.94388409464936873</v>
      </c>
      <c r="AW28" s="28">
        <v>0.98602374535935378</v>
      </c>
      <c r="AX28" s="28">
        <v>0.39374999999999999</v>
      </c>
      <c r="AY28" s="28">
        <v>0.39260672382928824</v>
      </c>
      <c r="AZ28" s="28">
        <v>7.9310057081500638</v>
      </c>
      <c r="BA28" s="28">
        <v>0.50444182948918082</v>
      </c>
      <c r="BB28" s="28">
        <v>0.29417703446124033</v>
      </c>
      <c r="BC28" s="28">
        <v>0.29194080229709296</v>
      </c>
      <c r="BD28" s="28">
        <v>0.45009348042964514</v>
      </c>
      <c r="BE28" s="28">
        <v>0.26830782026992378</v>
      </c>
      <c r="BF28" s="28">
        <v>0.25234081417614157</v>
      </c>
      <c r="BG28" s="28">
        <v>0.2423557237474992</v>
      </c>
      <c r="BH28" s="28">
        <v>0.1955532715680732</v>
      </c>
      <c r="BI28" s="28">
        <v>2.2983426673685106</v>
      </c>
      <c r="BJ28" s="28">
        <v>0.90050104443404166</v>
      </c>
      <c r="BK28" s="28">
        <v>4.706183723637773</v>
      </c>
      <c r="BL28" s="28">
        <v>0.57919645769466654</v>
      </c>
      <c r="BM28" s="28">
        <v>9.8418000000000005E-2</v>
      </c>
      <c r="BN28" s="28">
        <v>0.43107054102453168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0.83875557852297145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0.16145000000000001</v>
      </c>
      <c r="CC28" s="28">
        <v>0</v>
      </c>
      <c r="CD28" s="28">
        <v>7.25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6.6002163040253664E-2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0.2398365942553678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0.19688150425733206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8.8690000000000001E-3</v>
      </c>
      <c r="DP28" s="28">
        <v>0.45093704004198754</v>
      </c>
      <c r="DQ28" s="28">
        <v>1.3298000000000001E-2</v>
      </c>
      <c r="DR28" s="28">
        <v>7.1040000000000009E-3</v>
      </c>
      <c r="DS28" s="28">
        <v>1.3290999999999999E-2</v>
      </c>
      <c r="DT28" s="28">
        <v>0.13858651062481259</v>
      </c>
      <c r="DU28" s="28">
        <v>7.6045000000000001E-2</v>
      </c>
      <c r="DV28" s="28">
        <v>1.0842999999999998E-2</v>
      </c>
      <c r="DW28" s="28">
        <v>1.0813482745069151E-2</v>
      </c>
      <c r="DX28" s="28">
        <v>8.912648079652967E-3</v>
      </c>
      <c r="DY28" s="28">
        <v>2.1881999999999999E-2</v>
      </c>
      <c r="DZ28" s="28">
        <v>6.4829999999999999E-2</v>
      </c>
      <c r="EA28" s="28">
        <v>3.4463000000000001E-2</v>
      </c>
      <c r="EB28" s="28">
        <v>0.25864232461471909</v>
      </c>
      <c r="EC28" s="28">
        <v>0.30174937871717222</v>
      </c>
      <c r="ED28" s="28">
        <v>0.29024839668096458</v>
      </c>
      <c r="EE28" s="28">
        <v>0.5384581912208054</v>
      </c>
      <c r="EF28" s="28">
        <v>8.8690000000000001E-3</v>
      </c>
      <c r="EG28" s="28">
        <v>0.45093704004198754</v>
      </c>
      <c r="EH28" s="28">
        <v>1.3298000000000001E-2</v>
      </c>
      <c r="EI28" s="28">
        <v>7.1040000000000009E-3</v>
      </c>
      <c r="EJ28" s="28">
        <v>1.3290999999999999E-2</v>
      </c>
      <c r="EK28" s="28">
        <v>0.13858651062481259</v>
      </c>
      <c r="EL28" s="28">
        <v>7.6045000000000001E-2</v>
      </c>
      <c r="EM28" s="28">
        <v>1.0842999999999998E-2</v>
      </c>
      <c r="EN28" s="28">
        <v>1.0813482745069151E-2</v>
      </c>
      <c r="EO28" s="28">
        <v>8.912648079652967E-3</v>
      </c>
      <c r="EP28" s="28">
        <v>2.1881999999999999E-2</v>
      </c>
      <c r="EQ28" s="28">
        <v>6.4829999999999999E-2</v>
      </c>
      <c r="ER28" s="28">
        <v>3.4463000000000001E-2</v>
      </c>
      <c r="ES28" s="28">
        <v>0.25864232461471909</v>
      </c>
      <c r="ET28" s="28">
        <v>0.30174937871717222</v>
      </c>
      <c r="EU28" s="28">
        <v>0.29024839668096458</v>
      </c>
      <c r="EV28" s="28">
        <v>0.5384581912208054</v>
      </c>
    </row>
    <row r="29" spans="1:152" s="3" customFormat="1" ht="15" customHeight="1" x14ac:dyDescent="0.25">
      <c r="A29"/>
      <c r="B29" s="10" t="s">
        <v>250</v>
      </c>
      <c r="C29" s="28">
        <v>622.46443058387706</v>
      </c>
      <c r="D29" s="28">
        <v>532.54614219906034</v>
      </c>
      <c r="E29" s="28">
        <v>475.5035972202985</v>
      </c>
      <c r="F29" s="28">
        <v>202.14158748797809</v>
      </c>
      <c r="G29" s="28">
        <v>68.142161414364509</v>
      </c>
      <c r="H29" s="28">
        <v>39.903984682484911</v>
      </c>
      <c r="I29" s="28">
        <v>40.812908707464871</v>
      </c>
      <c r="J29" s="28">
        <v>37.641000287271027</v>
      </c>
      <c r="K29" s="28">
        <v>35.862747898116446</v>
      </c>
      <c r="L29" s="28">
        <v>30.462113008066037</v>
      </c>
      <c r="M29" s="28">
        <v>25.899029139105707</v>
      </c>
      <c r="N29" s="28">
        <v>19.468767024054461</v>
      </c>
      <c r="O29" s="28">
        <v>16.921014989800138</v>
      </c>
      <c r="P29" s="28">
        <v>20.558478209129596</v>
      </c>
      <c r="Q29" s="28">
        <v>13.035277730675855</v>
      </c>
      <c r="R29" s="28">
        <v>13.241988784944031</v>
      </c>
      <c r="S29" s="28">
        <v>10.729454836092946</v>
      </c>
      <c r="T29" s="28">
        <v>11.41553990353604</v>
      </c>
      <c r="U29" s="28">
        <v>9.4117722270630662</v>
      </c>
      <c r="V29" s="28">
        <v>9.8421617859573054</v>
      </c>
      <c r="W29" s="28">
        <v>3.0815942930825861</v>
      </c>
      <c r="X29" s="28">
        <v>4.2141167049393324</v>
      </c>
      <c r="Y29" s="28">
        <v>4.1600886386588467</v>
      </c>
      <c r="Z29" s="28">
        <v>4.6328016640135088</v>
      </c>
      <c r="AA29" s="28">
        <v>3.6583574676630382</v>
      </c>
      <c r="AB29" s="28">
        <v>3.3841158615293918</v>
      </c>
      <c r="AC29" s="28">
        <v>0.31677822560377467</v>
      </c>
      <c r="AD29" s="28">
        <v>3.0242090746133892</v>
      </c>
      <c r="AE29" s="28">
        <v>2.9565394079832523</v>
      </c>
      <c r="AF29" s="28">
        <v>2.5150359266042668</v>
      </c>
      <c r="AG29" s="28">
        <v>1.9685882674750432</v>
      </c>
      <c r="AH29" s="28">
        <v>2.0592390393143702</v>
      </c>
      <c r="AI29" s="28">
        <v>1.7771770748181188</v>
      </c>
      <c r="AJ29" s="28">
        <v>0.99185228829173278</v>
      </c>
      <c r="AK29" s="28">
        <v>0.99117026621218585</v>
      </c>
      <c r="AL29" s="28">
        <v>0.90022715612735227</v>
      </c>
      <c r="AM29" s="28">
        <v>0.44385432565397276</v>
      </c>
      <c r="AN29" s="28">
        <v>0.88163100000000005</v>
      </c>
      <c r="AO29" s="28">
        <v>0.91872689399022478</v>
      </c>
      <c r="AP29" s="28">
        <v>0.13192514588303536</v>
      </c>
      <c r="AQ29" s="28">
        <v>0.66762479063919322</v>
      </c>
      <c r="AR29" s="28">
        <v>0.39363887151261562</v>
      </c>
      <c r="AS29" s="28">
        <v>0.65606214768983939</v>
      </c>
      <c r="AT29" s="28">
        <v>0.11761132130795668</v>
      </c>
      <c r="AU29" s="28">
        <v>0.32673418269305798</v>
      </c>
      <c r="AV29" s="28">
        <v>0.94388409464936873</v>
      </c>
      <c r="AW29" s="28">
        <v>0.98602374535935378</v>
      </c>
      <c r="AX29" s="28">
        <v>0.39374999999999999</v>
      </c>
      <c r="AY29" s="28">
        <v>0.39260672382928824</v>
      </c>
      <c r="AZ29" s="28">
        <v>0.431005708150064</v>
      </c>
      <c r="BA29" s="28">
        <v>5.4699999999999996E-4</v>
      </c>
      <c r="BB29" s="28">
        <v>0.15209503446124031</v>
      </c>
      <c r="BC29" s="28">
        <v>0.29194080229709296</v>
      </c>
      <c r="BD29" s="28">
        <v>0.45009348042964514</v>
      </c>
      <c r="BE29" s="28">
        <v>0.26830782026992378</v>
      </c>
      <c r="BF29" s="28">
        <v>0.25234081417614157</v>
      </c>
      <c r="BG29" s="28">
        <v>0.2423557237474992</v>
      </c>
      <c r="BH29" s="28">
        <v>0.1955532715680732</v>
      </c>
      <c r="BI29" s="28">
        <v>0.18603255851359052</v>
      </c>
      <c r="BJ29" s="28">
        <v>0.15810925987752711</v>
      </c>
      <c r="BK29" s="28">
        <v>4.4906484531255071</v>
      </c>
      <c r="BL29" s="28">
        <v>0</v>
      </c>
      <c r="BM29" s="28">
        <v>9.8418000000000005E-2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0.83875557852297145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0.16145000000000001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8.8690000000000001E-3</v>
      </c>
      <c r="DP29" s="28">
        <v>0.43908004215005469</v>
      </c>
      <c r="DQ29" s="28">
        <v>1.3298000000000001E-2</v>
      </c>
      <c r="DR29" s="28">
        <v>3.5520000000000005E-3</v>
      </c>
      <c r="DS29" s="28">
        <v>1.3290999999999999E-2</v>
      </c>
      <c r="DT29" s="28">
        <v>3.5520000000000005E-3</v>
      </c>
      <c r="DU29" s="28">
        <v>7.6045000000000001E-2</v>
      </c>
      <c r="DV29" s="28">
        <v>1.0842999999999998E-2</v>
      </c>
      <c r="DW29" s="28">
        <v>1.0813482745069151E-2</v>
      </c>
      <c r="DX29" s="28">
        <v>2.8636372272200523E-3</v>
      </c>
      <c r="DY29" s="28">
        <v>2.1881999999999999E-2</v>
      </c>
      <c r="DZ29" s="28">
        <v>6.4829999999999999E-2</v>
      </c>
      <c r="EA29" s="28">
        <v>3.4463000000000001E-2</v>
      </c>
      <c r="EB29" s="28">
        <v>0</v>
      </c>
      <c r="EC29" s="28">
        <v>0</v>
      </c>
      <c r="ED29" s="28">
        <v>0</v>
      </c>
      <c r="EE29" s="28">
        <v>4.7251925770759751E-3</v>
      </c>
      <c r="EF29" s="28">
        <v>8.8690000000000001E-3</v>
      </c>
      <c r="EG29" s="28">
        <v>0.43908004215005469</v>
      </c>
      <c r="EH29" s="28">
        <v>1.3298000000000001E-2</v>
      </c>
      <c r="EI29" s="28">
        <v>3.5520000000000005E-3</v>
      </c>
      <c r="EJ29" s="28">
        <v>1.3290999999999999E-2</v>
      </c>
      <c r="EK29" s="28">
        <v>3.5520000000000005E-3</v>
      </c>
      <c r="EL29" s="28">
        <v>7.6045000000000001E-2</v>
      </c>
      <c r="EM29" s="28">
        <v>1.0842999999999998E-2</v>
      </c>
      <c r="EN29" s="28">
        <v>1.0813482745069151E-2</v>
      </c>
      <c r="EO29" s="28">
        <v>2.8636372272200523E-3</v>
      </c>
      <c r="EP29" s="28">
        <v>2.1881999999999999E-2</v>
      </c>
      <c r="EQ29" s="28">
        <v>6.4829999999999999E-2</v>
      </c>
      <c r="ER29" s="28">
        <v>3.4463000000000001E-2</v>
      </c>
      <c r="ES29" s="28">
        <v>0</v>
      </c>
      <c r="ET29" s="28">
        <v>0</v>
      </c>
      <c r="EU29" s="28">
        <v>0</v>
      </c>
      <c r="EV29" s="28">
        <v>4.7251925770759751E-3</v>
      </c>
    </row>
    <row r="30" spans="1:152" s="3" customFormat="1" ht="15" customHeight="1" x14ac:dyDescent="0.25">
      <c r="A30"/>
      <c r="B30" s="10" t="s">
        <v>251</v>
      </c>
      <c r="C30" s="28">
        <v>0</v>
      </c>
      <c r="D30" s="28">
        <v>121.37854760080467</v>
      </c>
      <c r="E30" s="28">
        <v>4.7459675131957173</v>
      </c>
      <c r="F30" s="28">
        <v>10.198028552264521</v>
      </c>
      <c r="G30" s="28">
        <v>6.7275188892990228</v>
      </c>
      <c r="H30" s="28">
        <v>95.37803018801408</v>
      </c>
      <c r="I30" s="28">
        <v>4.7490344728747989</v>
      </c>
      <c r="J30" s="28">
        <v>0</v>
      </c>
      <c r="K30" s="28">
        <v>1.8531208974618623</v>
      </c>
      <c r="L30" s="28">
        <v>0.49516032461471909</v>
      </c>
      <c r="M30" s="28">
        <v>0.86214108204906348</v>
      </c>
      <c r="N30" s="28">
        <v>3.9167022486877299</v>
      </c>
      <c r="O30" s="28">
        <v>11.068543301603022</v>
      </c>
      <c r="P30" s="28">
        <v>0.35477799999999998</v>
      </c>
      <c r="Q30" s="28">
        <v>10.515713919971256</v>
      </c>
      <c r="R30" s="28">
        <v>6.24300630725301</v>
      </c>
      <c r="S30" s="28">
        <v>1.8571564752724028</v>
      </c>
      <c r="T30" s="28">
        <v>2.1355910300255516</v>
      </c>
      <c r="U30" s="28">
        <v>3.0152798385363377</v>
      </c>
      <c r="V30" s="28">
        <v>0</v>
      </c>
      <c r="W30" s="28">
        <v>8.6822777595055989</v>
      </c>
      <c r="X30" s="28">
        <v>0.94607379375591294</v>
      </c>
      <c r="Y30" s="28">
        <v>0.2155352705122659</v>
      </c>
      <c r="Z30" s="28">
        <v>0</v>
      </c>
      <c r="AA30" s="28">
        <v>0.48624763050574238</v>
      </c>
      <c r="AB30" s="28">
        <v>2.6055273411271296</v>
      </c>
      <c r="AC30" s="28">
        <v>1.7087804107807809</v>
      </c>
      <c r="AD30" s="28">
        <v>0</v>
      </c>
      <c r="AE30" s="28">
        <v>0.30925329253731731</v>
      </c>
      <c r="AF30" s="28">
        <v>0.130632</v>
      </c>
      <c r="AG30" s="28">
        <v>0.41213701397330532</v>
      </c>
      <c r="AH30" s="28">
        <v>0.2155352705122659</v>
      </c>
      <c r="AI30" s="28">
        <v>0</v>
      </c>
      <c r="AJ30" s="28">
        <v>0.44204721704865829</v>
      </c>
      <c r="AK30" s="28">
        <v>0.17242821640981271</v>
      </c>
      <c r="AL30" s="28">
        <v>0.2155352705122659</v>
      </c>
      <c r="AM30" s="28">
        <v>0.5298013245033113</v>
      </c>
      <c r="AN30" s="28">
        <v>0</v>
      </c>
      <c r="AO30" s="28">
        <v>0</v>
      </c>
      <c r="AP30" s="28">
        <v>0.32330290576839882</v>
      </c>
      <c r="AQ30" s="28">
        <v>0</v>
      </c>
      <c r="AR30" s="28">
        <v>0</v>
      </c>
      <c r="AS30" s="28">
        <v>0.15797886528504509</v>
      </c>
      <c r="AT30" s="28">
        <v>0.43678979422894992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7.5</v>
      </c>
      <c r="BA30" s="28">
        <v>0.30174937871717233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2.1123101088549201</v>
      </c>
      <c r="BJ30" s="28">
        <v>0</v>
      </c>
      <c r="BK30" s="28">
        <v>0.2155352705122659</v>
      </c>
      <c r="BL30" s="28">
        <v>0.57919645769466654</v>
      </c>
      <c r="BM30" s="28">
        <v>0</v>
      </c>
      <c r="BN30" s="28">
        <v>0.43107054102453168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7.25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6.6002163040253664E-2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0.2398365942553678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8.3049978919328138E-3</v>
      </c>
      <c r="DQ30" s="28">
        <v>0</v>
      </c>
      <c r="DR30" s="28">
        <v>0</v>
      </c>
      <c r="DS30" s="28">
        <v>0</v>
      </c>
      <c r="DT30" s="28">
        <v>0.13148251062481259</v>
      </c>
      <c r="DU30" s="28">
        <v>0</v>
      </c>
      <c r="DV30" s="28">
        <v>0</v>
      </c>
      <c r="DW30" s="28">
        <v>0</v>
      </c>
      <c r="DX30" s="28">
        <v>6.0490108524329147E-3</v>
      </c>
      <c r="DY30" s="28">
        <v>0</v>
      </c>
      <c r="DZ30" s="28">
        <v>0</v>
      </c>
      <c r="EA30" s="28">
        <v>0</v>
      </c>
      <c r="EB30" s="28">
        <v>0.25864232461471909</v>
      </c>
      <c r="EC30" s="28">
        <v>0.30174937871717222</v>
      </c>
      <c r="ED30" s="28">
        <v>0</v>
      </c>
      <c r="EE30" s="28">
        <v>0.53373299864372947</v>
      </c>
      <c r="EF30" s="28">
        <v>0</v>
      </c>
      <c r="EG30" s="28">
        <v>8.3049978919328138E-3</v>
      </c>
      <c r="EH30" s="28">
        <v>0</v>
      </c>
      <c r="EI30" s="28">
        <v>0</v>
      </c>
      <c r="EJ30" s="28">
        <v>0</v>
      </c>
      <c r="EK30" s="28">
        <v>0.13148251062481259</v>
      </c>
      <c r="EL30" s="28">
        <v>0</v>
      </c>
      <c r="EM30" s="28">
        <v>0</v>
      </c>
      <c r="EN30" s="28">
        <v>0</v>
      </c>
      <c r="EO30" s="28">
        <v>6.0490108524329147E-3</v>
      </c>
      <c r="EP30" s="28">
        <v>0</v>
      </c>
      <c r="EQ30" s="28">
        <v>0</v>
      </c>
      <c r="ER30" s="28">
        <v>0</v>
      </c>
      <c r="ES30" s="28">
        <v>0.25864232461471909</v>
      </c>
      <c r="ET30" s="28">
        <v>0.30174937871717222</v>
      </c>
      <c r="EU30" s="28">
        <v>0</v>
      </c>
      <c r="EV30" s="28">
        <v>0.53373299864372947</v>
      </c>
    </row>
    <row r="31" spans="1:152" s="3" customFormat="1" ht="15" customHeight="1" x14ac:dyDescent="0.25">
      <c r="A31"/>
      <c r="B31" s="10" t="s">
        <v>252</v>
      </c>
      <c r="C31" s="28">
        <v>1.6670000000000001E-2</v>
      </c>
      <c r="D31" s="28">
        <v>1.1632231466923399</v>
      </c>
      <c r="E31" s="28">
        <v>0.59893200000000002</v>
      </c>
      <c r="F31" s="28">
        <v>0</v>
      </c>
      <c r="G31" s="28">
        <v>0</v>
      </c>
      <c r="H31" s="28">
        <v>4.1338670000000004</v>
      </c>
      <c r="I31" s="28">
        <v>0.21827099999999999</v>
      </c>
      <c r="J31" s="28">
        <v>0</v>
      </c>
      <c r="K31" s="28">
        <v>0.16423789716658899</v>
      </c>
      <c r="L31" s="28">
        <v>0</v>
      </c>
      <c r="M31" s="28">
        <v>6.7666494423862869E-2</v>
      </c>
      <c r="N31" s="28">
        <v>3.552E-3</v>
      </c>
      <c r="O31" s="28">
        <v>1.2343366355084654E-2</v>
      </c>
      <c r="P31" s="28">
        <v>3.552E-3</v>
      </c>
      <c r="Q31" s="28">
        <v>0</v>
      </c>
      <c r="R31" s="28">
        <v>0</v>
      </c>
      <c r="S31" s="28">
        <v>3.552E-3</v>
      </c>
      <c r="T31" s="28">
        <v>0.160833</v>
      </c>
      <c r="U31" s="28">
        <v>0</v>
      </c>
      <c r="V31" s="28">
        <v>0</v>
      </c>
      <c r="W31" s="28">
        <v>0.27313100000000001</v>
      </c>
      <c r="X31" s="28">
        <v>0</v>
      </c>
      <c r="Y31" s="28">
        <v>0</v>
      </c>
      <c r="Z31" s="28">
        <v>0</v>
      </c>
      <c r="AA31" s="28">
        <v>0</v>
      </c>
      <c r="AB31" s="28">
        <v>4.6312588564915744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0.14664099999999999</v>
      </c>
      <c r="AI31" s="28">
        <v>0.15045900000000001</v>
      </c>
      <c r="AJ31" s="28">
        <v>0</v>
      </c>
      <c r="AK31" s="28">
        <v>0</v>
      </c>
      <c r="AL31" s="28">
        <v>0</v>
      </c>
      <c r="AM31" s="28">
        <v>3.552E-3</v>
      </c>
      <c r="AN31" s="28">
        <v>0</v>
      </c>
      <c r="AO31" s="28">
        <v>0</v>
      </c>
      <c r="AP31" s="28">
        <v>0</v>
      </c>
      <c r="AQ31" s="28">
        <v>0</v>
      </c>
      <c r="AR31" s="28">
        <v>0.126251</v>
      </c>
      <c r="AS31" s="28">
        <v>0</v>
      </c>
      <c r="AT31" s="28">
        <v>0</v>
      </c>
      <c r="AU31" s="28">
        <v>8.3770000000000008E-3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0.20214545077200841</v>
      </c>
      <c r="BB31" s="28">
        <v>0.14208200000000001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0.74239178455651456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3.552E-3</v>
      </c>
      <c r="DQ31" s="28">
        <v>0</v>
      </c>
      <c r="DR31" s="28">
        <v>3.552E-3</v>
      </c>
      <c r="DS31" s="28">
        <v>0</v>
      </c>
      <c r="DT31" s="28">
        <v>3.552E-3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0.29024839668096458</v>
      </c>
      <c r="EE31" s="28">
        <v>0</v>
      </c>
      <c r="EF31" s="28">
        <v>0</v>
      </c>
      <c r="EG31" s="28">
        <v>3.552E-3</v>
      </c>
      <c r="EH31" s="28">
        <v>0</v>
      </c>
      <c r="EI31" s="28">
        <v>3.552E-3</v>
      </c>
      <c r="EJ31" s="28">
        <v>0</v>
      </c>
      <c r="EK31" s="28">
        <v>3.552E-3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0.29024839668096458</v>
      </c>
      <c r="EV31" s="28">
        <v>0</v>
      </c>
    </row>
    <row r="32" spans="1:152" s="3" customFormat="1" ht="15" customHeight="1" x14ac:dyDescent="0.25">
      <c r="A32"/>
      <c r="B32" s="10" t="s">
        <v>253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</row>
    <row r="33" spans="1:152" s="3" customFormat="1" ht="15" customHeight="1" x14ac:dyDescent="0.25">
      <c r="A33"/>
      <c r="B33" s="10" t="s">
        <v>254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</row>
    <row r="34" spans="1:152" s="3" customFormat="1" ht="15" customHeight="1" x14ac:dyDescent="0.25">
      <c r="A34"/>
      <c r="B34" s="18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152" s="3" customFormat="1" ht="15" customHeight="1" x14ac:dyDescent="0.25">
      <c r="A35"/>
      <c r="B35" s="18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152" s="3" customFormat="1" ht="15" customHeight="1" x14ac:dyDescent="0.25">
      <c r="A36"/>
      <c r="B36" s="30"/>
      <c r="C36" s="30" t="s">
        <v>324</v>
      </c>
      <c r="D36" s="30" t="s">
        <v>258</v>
      </c>
      <c r="E36" s="30" t="s">
        <v>44</v>
      </c>
      <c r="F36" s="30" t="s">
        <v>53</v>
      </c>
      <c r="G36" s="30" t="s">
        <v>259</v>
      </c>
      <c r="H36" s="30" t="s">
        <v>260</v>
      </c>
      <c r="I36" s="30" t="s">
        <v>113</v>
      </c>
      <c r="J36" s="30" t="s">
        <v>76</v>
      </c>
      <c r="K36" s="30" t="s">
        <v>11</v>
      </c>
      <c r="L36" s="30" t="s">
        <v>103</v>
      </c>
      <c r="M36" s="30" t="s">
        <v>89</v>
      </c>
      <c r="N36" s="30" t="s">
        <v>48</v>
      </c>
      <c r="O36" s="30" t="s">
        <v>117</v>
      </c>
      <c r="P36" s="30" t="s">
        <v>71</v>
      </c>
      <c r="Q36" s="30" t="s">
        <v>132</v>
      </c>
      <c r="R36" s="30" t="s">
        <v>41</v>
      </c>
      <c r="S36" s="30" t="s">
        <v>134</v>
      </c>
      <c r="T36" s="30" t="s">
        <v>261</v>
      </c>
      <c r="U36" s="30" t="s">
        <v>18</v>
      </c>
      <c r="V36" s="30" t="s">
        <v>129</v>
      </c>
      <c r="W36" s="30" t="s">
        <v>262</v>
      </c>
      <c r="X36" s="30" t="s">
        <v>121</v>
      </c>
      <c r="Y36" s="30" t="s">
        <v>74</v>
      </c>
      <c r="Z36" s="30" t="s">
        <v>149</v>
      </c>
      <c r="AA36" s="30" t="s">
        <v>140</v>
      </c>
      <c r="AB36" s="30" t="s">
        <v>263</v>
      </c>
      <c r="AC36" s="30" t="s">
        <v>137</v>
      </c>
      <c r="AD36" s="30" t="s">
        <v>264</v>
      </c>
      <c r="AE36" s="30" t="s">
        <v>94</v>
      </c>
      <c r="AF36" s="30" t="s">
        <v>116</v>
      </c>
      <c r="AG36" s="30" t="s">
        <v>123</v>
      </c>
      <c r="AH36" s="30" t="s">
        <v>110</v>
      </c>
      <c r="AI36" s="30" t="s">
        <v>150</v>
      </c>
      <c r="AJ36" s="30" t="s">
        <v>67</v>
      </c>
      <c r="AK36" s="30" t="s">
        <v>136</v>
      </c>
      <c r="AL36" s="30" t="s">
        <v>77</v>
      </c>
      <c r="AM36" s="30" t="s">
        <v>130</v>
      </c>
      <c r="AN36" s="30" t="s">
        <v>146</v>
      </c>
      <c r="AO36" s="30" t="s">
        <v>265</v>
      </c>
      <c r="AP36" s="30" t="s">
        <v>124</v>
      </c>
      <c r="AQ36" s="30" t="s">
        <v>266</v>
      </c>
      <c r="AR36" s="30" t="s">
        <v>148</v>
      </c>
      <c r="AS36" s="30" t="s">
        <v>267</v>
      </c>
      <c r="AT36" s="30" t="s">
        <v>3</v>
      </c>
      <c r="AU36" s="30" t="s">
        <v>142</v>
      </c>
      <c r="AV36" s="30" t="s">
        <v>156</v>
      </c>
      <c r="AW36" s="30" t="s">
        <v>268</v>
      </c>
      <c r="AX36" s="30" t="s">
        <v>39</v>
      </c>
      <c r="AY36" s="30" t="s">
        <v>269</v>
      </c>
      <c r="AZ36" s="30" t="s">
        <v>270</v>
      </c>
      <c r="BA36" s="30" t="s">
        <v>271</v>
      </c>
      <c r="BB36" s="30" t="s">
        <v>272</v>
      </c>
      <c r="BC36" s="30" t="s">
        <v>85</v>
      </c>
      <c r="BD36" s="30" t="s">
        <v>273</v>
      </c>
      <c r="BE36" s="30" t="s">
        <v>29</v>
      </c>
      <c r="BF36" s="30" t="s">
        <v>35</v>
      </c>
      <c r="BG36" s="30" t="s">
        <v>6</v>
      </c>
      <c r="BH36" s="30" t="s">
        <v>64</v>
      </c>
      <c r="BI36" s="30" t="s">
        <v>274</v>
      </c>
      <c r="BJ36" s="30" t="s">
        <v>275</v>
      </c>
      <c r="BK36" s="30" t="s">
        <v>23</v>
      </c>
      <c r="BL36" s="30" t="s">
        <v>276</v>
      </c>
      <c r="BM36" s="30" t="s">
        <v>37</v>
      </c>
      <c r="BN36" s="30" t="s">
        <v>1</v>
      </c>
      <c r="BO36" s="30" t="s">
        <v>2</v>
      </c>
      <c r="BP36" s="30" t="s">
        <v>101</v>
      </c>
      <c r="BQ36" s="30" t="s">
        <v>5</v>
      </c>
      <c r="BR36" s="30" t="s">
        <v>9</v>
      </c>
      <c r="BS36" s="30" t="s">
        <v>13</v>
      </c>
      <c r="BT36" s="30" t="s">
        <v>122</v>
      </c>
      <c r="BU36" s="30" t="s">
        <v>277</v>
      </c>
      <c r="BV36" s="30" t="s">
        <v>16</v>
      </c>
      <c r="BW36" s="30" t="s">
        <v>102</v>
      </c>
      <c r="BX36" s="30" t="s">
        <v>155</v>
      </c>
      <c r="BY36" s="30" t="s">
        <v>278</v>
      </c>
      <c r="BZ36" s="30" t="s">
        <v>279</v>
      </c>
      <c r="CA36" s="30" t="s">
        <v>105</v>
      </c>
      <c r="CB36" s="30" t="s">
        <v>280</v>
      </c>
      <c r="CC36" s="30" t="s">
        <v>151</v>
      </c>
      <c r="CD36" s="30" t="s">
        <v>281</v>
      </c>
      <c r="CE36" s="30" t="s">
        <v>26</v>
      </c>
      <c r="CF36" s="30" t="s">
        <v>126</v>
      </c>
      <c r="CG36" s="30" t="s">
        <v>115</v>
      </c>
      <c r="CH36" s="30" t="s">
        <v>128</v>
      </c>
      <c r="CI36" s="30" t="s">
        <v>127</v>
      </c>
      <c r="CJ36" s="30" t="s">
        <v>144</v>
      </c>
      <c r="CK36" s="30" t="s">
        <v>167</v>
      </c>
      <c r="CL36" s="30" t="s">
        <v>152</v>
      </c>
      <c r="CM36" s="30" t="s">
        <v>47</v>
      </c>
      <c r="CN36" s="30" t="s">
        <v>50</v>
      </c>
      <c r="CO36" s="30" t="s">
        <v>282</v>
      </c>
      <c r="CP36" s="30" t="s">
        <v>139</v>
      </c>
      <c r="CQ36" s="30" t="s">
        <v>60</v>
      </c>
      <c r="CR36" s="30" t="s">
        <v>283</v>
      </c>
      <c r="CS36" s="30" t="s">
        <v>284</v>
      </c>
      <c r="CT36" s="30" t="s">
        <v>66</v>
      </c>
      <c r="CU36" s="30" t="s">
        <v>65</v>
      </c>
      <c r="CV36" s="30" t="s">
        <v>61</v>
      </c>
      <c r="CW36" s="30" t="s">
        <v>285</v>
      </c>
      <c r="CX36" s="30" t="s">
        <v>80</v>
      </c>
      <c r="CY36" s="30" t="s">
        <v>120</v>
      </c>
      <c r="CZ36" s="30" t="s">
        <v>158</v>
      </c>
      <c r="DA36" s="30" t="s">
        <v>131</v>
      </c>
      <c r="DB36" s="30" t="s">
        <v>286</v>
      </c>
      <c r="DC36" s="30" t="s">
        <v>153</v>
      </c>
      <c r="DD36" s="30" t="s">
        <v>287</v>
      </c>
      <c r="DE36" s="30" t="s">
        <v>288</v>
      </c>
      <c r="DF36" s="30" t="s">
        <v>56</v>
      </c>
      <c r="DG36" s="30" t="s">
        <v>289</v>
      </c>
      <c r="DH36" s="30" t="s">
        <v>95</v>
      </c>
      <c r="DI36" s="30" t="s">
        <v>290</v>
      </c>
      <c r="DJ36" s="30" t="s">
        <v>100</v>
      </c>
      <c r="DK36" s="30" t="s">
        <v>99</v>
      </c>
      <c r="DL36" s="30" t="s">
        <v>138</v>
      </c>
      <c r="DM36" s="30" t="s">
        <v>157</v>
      </c>
      <c r="DN36" s="30" t="s">
        <v>291</v>
      </c>
      <c r="DO36" s="30" t="s">
        <v>80</v>
      </c>
      <c r="DP36" s="30" t="s">
        <v>120</v>
      </c>
      <c r="DQ36" s="30" t="s">
        <v>158</v>
      </c>
      <c r="DR36" s="30" t="s">
        <v>131</v>
      </c>
      <c r="DS36" s="30" t="s">
        <v>286</v>
      </c>
      <c r="DT36" s="30" t="s">
        <v>153</v>
      </c>
      <c r="DU36" s="30" t="s">
        <v>287</v>
      </c>
      <c r="DV36" s="30" t="s">
        <v>288</v>
      </c>
      <c r="DW36" s="30" t="s">
        <v>56</v>
      </c>
      <c r="DX36" s="30" t="s">
        <v>289</v>
      </c>
      <c r="DY36" s="30" t="s">
        <v>95</v>
      </c>
      <c r="DZ36" s="30" t="s">
        <v>290</v>
      </c>
      <c r="EA36" s="30" t="s">
        <v>100</v>
      </c>
      <c r="EB36" s="30" t="s">
        <v>99</v>
      </c>
      <c r="EC36" s="30" t="s">
        <v>138</v>
      </c>
      <c r="ED36" s="30" t="s">
        <v>157</v>
      </c>
      <c r="EE36" s="30" t="s">
        <v>291</v>
      </c>
      <c r="EF36" s="30" t="s">
        <v>62</v>
      </c>
      <c r="EG36" s="30" t="s">
        <v>112</v>
      </c>
      <c r="EH36" s="30" t="s">
        <v>334</v>
      </c>
      <c r="EI36" s="30" t="s">
        <v>145</v>
      </c>
      <c r="EJ36" s="30" t="s">
        <v>328</v>
      </c>
      <c r="EK36" s="30" t="s">
        <v>111</v>
      </c>
      <c r="EL36" s="30" t="s">
        <v>69</v>
      </c>
      <c r="EM36" s="30" t="s">
        <v>14</v>
      </c>
      <c r="EN36" s="30" t="s">
        <v>147</v>
      </c>
      <c r="EO36" s="30" t="s">
        <v>20</v>
      </c>
      <c r="EP36" s="30" t="s">
        <v>109</v>
      </c>
      <c r="EQ36" s="30" t="s">
        <v>108</v>
      </c>
      <c r="ER36" s="30" t="s">
        <v>143</v>
      </c>
      <c r="ES36" s="30" t="s">
        <v>98</v>
      </c>
      <c r="ET36" s="30" t="s">
        <v>52</v>
      </c>
      <c r="EU36" s="30" t="s">
        <v>79</v>
      </c>
      <c r="EV36" s="30" t="s">
        <v>119</v>
      </c>
    </row>
    <row r="37" spans="1:152" s="3" customFormat="1" ht="15" customHeight="1" x14ac:dyDescent="0.25">
      <c r="A37"/>
      <c r="B37" s="10" t="s">
        <v>428</v>
      </c>
      <c r="C37" s="28">
        <v>622.48110058387704</v>
      </c>
      <c r="D37" s="28">
        <v>655.08791294655714</v>
      </c>
      <c r="E37" s="28">
        <v>480.94693748562287</v>
      </c>
      <c r="F37" s="28">
        <v>212.43805681602311</v>
      </c>
      <c r="G37" s="28">
        <v>74.869680303663515</v>
      </c>
      <c r="H37" s="28">
        <v>139.41588187049902</v>
      </c>
      <c r="I37" s="28">
        <v>45.780214180339684</v>
      </c>
      <c r="J37" s="28">
        <v>37.641000287271027</v>
      </c>
      <c r="K37" s="28">
        <v>37.880106692744889</v>
      </c>
      <c r="L37" s="28">
        <v>30.95727333268076</v>
      </c>
      <c r="M37" s="28">
        <v>26.828836715578635</v>
      </c>
      <c r="N37" s="28">
        <v>23.389021272742195</v>
      </c>
      <c r="O37" s="28">
        <v>28.001901657758246</v>
      </c>
      <c r="P37" s="28">
        <v>20.916808209129595</v>
      </c>
      <c r="Q37" s="28">
        <v>23.550991650647109</v>
      </c>
      <c r="R37" s="28">
        <v>19.484995092197043</v>
      </c>
      <c r="S37" s="28">
        <v>12.59016331136535</v>
      </c>
      <c r="T37" s="28">
        <v>13.711963933561593</v>
      </c>
      <c r="U37" s="28">
        <v>12.427052065599405</v>
      </c>
      <c r="V37" s="28">
        <v>9.8421617859573054</v>
      </c>
      <c r="W37" s="28">
        <v>12.037003052588185</v>
      </c>
      <c r="X37" s="28">
        <v>5.1601904986952452</v>
      </c>
      <c r="Y37" s="28">
        <v>4.3756239091711127</v>
      </c>
      <c r="Z37" s="28">
        <v>4.6328016640135088</v>
      </c>
      <c r="AA37" s="28">
        <v>4.1446050981687801</v>
      </c>
      <c r="AB37" s="28">
        <v>10.620902059148095</v>
      </c>
      <c r="AC37" s="28">
        <v>2.0255586363845555</v>
      </c>
      <c r="AD37" s="28">
        <v>3.0242090746133892</v>
      </c>
      <c r="AE37" s="28">
        <v>3.2657927005205698</v>
      </c>
      <c r="AF37" s="28">
        <v>2.6456679266042671</v>
      </c>
      <c r="AG37" s="28">
        <v>2.3807252814483486</v>
      </c>
      <c r="AH37" s="28">
        <v>2.421415309826636</v>
      </c>
      <c r="AI37" s="28">
        <v>1.9276360748181189</v>
      </c>
      <c r="AJ37" s="28">
        <v>1.4338995053403911</v>
      </c>
      <c r="AK37" s="28">
        <v>1.1635984826219987</v>
      </c>
      <c r="AL37" s="28">
        <v>1.1157624266396182</v>
      </c>
      <c r="AM37" s="28">
        <v>0.97720765015728406</v>
      </c>
      <c r="AN37" s="28">
        <v>0.88163100000000005</v>
      </c>
      <c r="AO37" s="28">
        <v>0.91872689399022478</v>
      </c>
      <c r="AP37" s="28">
        <v>0.45522805165143421</v>
      </c>
      <c r="AQ37" s="28">
        <v>0.66762479063919322</v>
      </c>
      <c r="AR37" s="28">
        <v>0.51988987151261568</v>
      </c>
      <c r="AS37" s="28">
        <v>0.81404101297488451</v>
      </c>
      <c r="AT37" s="28">
        <v>0.55440111553690663</v>
      </c>
      <c r="AU37" s="28">
        <v>0.33511118269305801</v>
      </c>
      <c r="AV37" s="28">
        <v>0.94388409464936873</v>
      </c>
      <c r="AW37" s="28">
        <v>0.98602374535935378</v>
      </c>
      <c r="AX37" s="28">
        <v>0.39374999999999999</v>
      </c>
      <c r="AY37" s="28">
        <v>0.39260672382928824</v>
      </c>
      <c r="AZ37" s="28">
        <v>7.9310057081500638</v>
      </c>
      <c r="BA37" s="28">
        <v>0.50444182948918082</v>
      </c>
      <c r="BB37" s="28">
        <v>0.29417703446124033</v>
      </c>
      <c r="BC37" s="28">
        <v>0.29194080229709296</v>
      </c>
      <c r="BD37" s="28">
        <v>0.45009348042964514</v>
      </c>
      <c r="BE37" s="28">
        <v>0.26830782026992378</v>
      </c>
      <c r="BF37" s="28">
        <v>0.25234081417614157</v>
      </c>
      <c r="BG37" s="28">
        <v>0.2423557237474992</v>
      </c>
      <c r="BH37" s="28">
        <v>0.1955532715680732</v>
      </c>
      <c r="BI37" s="28">
        <v>2.2983426673685106</v>
      </c>
      <c r="BJ37" s="28">
        <v>0.90050104443404166</v>
      </c>
      <c r="BK37" s="28">
        <v>4.706183723637773</v>
      </c>
      <c r="BL37" s="28">
        <v>0.57919645769466654</v>
      </c>
      <c r="BM37" s="28">
        <v>9.8418000000000005E-2</v>
      </c>
      <c r="BN37" s="28">
        <v>0.43107054102453168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0.83875557852297145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0.16145000000000001</v>
      </c>
      <c r="CC37" s="28">
        <v>0</v>
      </c>
      <c r="CD37" s="28">
        <v>7.25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6.6002163040253664E-2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0.2398365942553678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0.19688150425733206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8.8690000000000001E-3</v>
      </c>
      <c r="DP37" s="28">
        <v>0.45093704004198754</v>
      </c>
      <c r="DQ37" s="28">
        <v>1.3298000000000001E-2</v>
      </c>
      <c r="DR37" s="28">
        <v>7.1040000000000009E-3</v>
      </c>
      <c r="DS37" s="28">
        <v>1.3290999999999999E-2</v>
      </c>
      <c r="DT37" s="28">
        <v>0.13858651062481259</v>
      </c>
      <c r="DU37" s="28">
        <v>7.6045000000000001E-2</v>
      </c>
      <c r="DV37" s="28">
        <v>1.0842999999999998E-2</v>
      </c>
      <c r="DW37" s="28">
        <v>1.0813482745069151E-2</v>
      </c>
      <c r="DX37" s="28">
        <v>8.912648079652967E-3</v>
      </c>
      <c r="DY37" s="28">
        <v>2.1881999999999999E-2</v>
      </c>
      <c r="DZ37" s="28">
        <v>6.4829999999999999E-2</v>
      </c>
      <c r="EA37" s="28">
        <v>3.4463000000000001E-2</v>
      </c>
      <c r="EB37" s="28">
        <v>0.25864232461471909</v>
      </c>
      <c r="EC37" s="28">
        <v>0.30174937871717222</v>
      </c>
      <c r="ED37" s="28">
        <v>0.29024839668096458</v>
      </c>
      <c r="EE37" s="28">
        <v>0.5384581912208054</v>
      </c>
      <c r="EF37" s="28">
        <v>8.8690000000000001E-3</v>
      </c>
      <c r="EG37" s="28">
        <v>0.45093704004198754</v>
      </c>
      <c r="EH37" s="28">
        <v>1.3298000000000001E-2</v>
      </c>
      <c r="EI37" s="28">
        <v>7.1040000000000009E-3</v>
      </c>
      <c r="EJ37" s="28">
        <v>1.3290999999999999E-2</v>
      </c>
      <c r="EK37" s="28">
        <v>0.13858651062481259</v>
      </c>
      <c r="EL37" s="28">
        <v>7.6045000000000001E-2</v>
      </c>
      <c r="EM37" s="28">
        <v>1.0842999999999998E-2</v>
      </c>
      <c r="EN37" s="28">
        <v>1.0813482745069151E-2</v>
      </c>
      <c r="EO37" s="28">
        <v>8.912648079652967E-3</v>
      </c>
      <c r="EP37" s="28">
        <v>2.1881999999999999E-2</v>
      </c>
      <c r="EQ37" s="28">
        <v>6.4829999999999999E-2</v>
      </c>
      <c r="ER37" s="28">
        <v>3.4463000000000001E-2</v>
      </c>
      <c r="ES37" s="28">
        <v>0.25864232461471909</v>
      </c>
      <c r="ET37" s="28">
        <v>0.30174937871717222</v>
      </c>
      <c r="EU37" s="28">
        <v>0.29024839668096458</v>
      </c>
      <c r="EV37" s="28">
        <v>0.5384581912208054</v>
      </c>
    </row>
    <row r="38" spans="1:152" s="3" customFormat="1" ht="15" customHeight="1" x14ac:dyDescent="0.25">
      <c r="A38"/>
      <c r="B38" s="10" t="s">
        <v>430</v>
      </c>
      <c r="C38" s="28">
        <v>1428.0188996659876</v>
      </c>
      <c r="D38" s="28">
        <v>2921.922384940242</v>
      </c>
      <c r="E38" s="28">
        <v>2164.7331905134261</v>
      </c>
      <c r="F38" s="28">
        <v>1967.2567615851417</v>
      </c>
      <c r="G38" s="28">
        <v>561.67785883898193</v>
      </c>
      <c r="H38" s="28">
        <v>5435.3325427837217</v>
      </c>
      <c r="I38" s="28">
        <v>420.16869191074352</v>
      </c>
      <c r="J38" s="28">
        <v>48.831118417245293</v>
      </c>
      <c r="K38" s="28">
        <v>950.87847676781018</v>
      </c>
      <c r="L38" s="28">
        <v>179.03926921797401</v>
      </c>
      <c r="M38" s="28">
        <v>335.2620303266026</v>
      </c>
      <c r="N38" s="28">
        <v>253.5895586094793</v>
      </c>
      <c r="O38" s="28">
        <v>795.30878439583557</v>
      </c>
      <c r="P38" s="28">
        <v>86.503575979542276</v>
      </c>
      <c r="Q38" s="28">
        <v>324.26188858056662</v>
      </c>
      <c r="R38" s="28">
        <v>552.79591931652692</v>
      </c>
      <c r="S38" s="28">
        <v>130.81358941147454</v>
      </c>
      <c r="T38" s="28">
        <v>305.20891235629688</v>
      </c>
      <c r="U38" s="28">
        <v>1428.687669564921</v>
      </c>
      <c r="V38" s="28">
        <v>57.840669370957535</v>
      </c>
      <c r="W38" s="28">
        <v>304.43914824751363</v>
      </c>
      <c r="X38" s="28">
        <v>68.168104428918355</v>
      </c>
      <c r="Y38" s="28">
        <v>80.748077806046936</v>
      </c>
      <c r="Z38" s="28">
        <v>4.6328016640135088</v>
      </c>
      <c r="AA38" s="28">
        <v>136.48932516259501</v>
      </c>
      <c r="AB38" s="28">
        <v>153.77378229696168</v>
      </c>
      <c r="AC38" s="28">
        <v>68.236458860909607</v>
      </c>
      <c r="AD38" s="28">
        <v>834.21672570070064</v>
      </c>
      <c r="AE38" s="28">
        <v>176.77675888245292</v>
      </c>
      <c r="AF38" s="28">
        <v>117.25489902312182</v>
      </c>
      <c r="AG38" s="28">
        <v>79.922600927178038</v>
      </c>
      <c r="AH38" s="28">
        <v>74.673005996058819</v>
      </c>
      <c r="AI38" s="28">
        <v>14.803272038635511</v>
      </c>
      <c r="AJ38" s="28">
        <v>36.107143145828211</v>
      </c>
      <c r="AK38" s="28">
        <v>49.247615200128308</v>
      </c>
      <c r="AL38" s="28">
        <v>32.648331753916871</v>
      </c>
      <c r="AM38" s="28">
        <v>34.622021396338958</v>
      </c>
      <c r="AN38" s="28">
        <v>46.43558843374133</v>
      </c>
      <c r="AO38" s="28">
        <v>148.45608343944622</v>
      </c>
      <c r="AP38" s="28">
        <v>183.19255385947315</v>
      </c>
      <c r="AQ38" s="28">
        <v>101.64793157708812</v>
      </c>
      <c r="AR38" s="28">
        <v>13.562365638468981</v>
      </c>
      <c r="AS38" s="28">
        <v>10.655822150716679</v>
      </c>
      <c r="AT38" s="28">
        <v>79.71945191645969</v>
      </c>
      <c r="AU38" s="28">
        <v>16.687522998612835</v>
      </c>
      <c r="AV38" s="28">
        <v>33.224542306301458</v>
      </c>
      <c r="AW38" s="28">
        <v>93.515599624367354</v>
      </c>
      <c r="AX38" s="28">
        <v>60.692712948292709</v>
      </c>
      <c r="AY38" s="28">
        <v>25.047786035096664</v>
      </c>
      <c r="AZ38" s="28">
        <v>112.74075439605016</v>
      </c>
      <c r="BA38" s="28">
        <v>254.36606500375905</v>
      </c>
      <c r="BB38" s="28">
        <v>18.240333626404741</v>
      </c>
      <c r="BC38" s="28">
        <v>26.626512999218861</v>
      </c>
      <c r="BD38" s="28">
        <v>11.432143160045797</v>
      </c>
      <c r="BE38" s="28">
        <v>3.4222474173269535</v>
      </c>
      <c r="BF38" s="28">
        <v>16.590707120706085</v>
      </c>
      <c r="BG38" s="28">
        <v>18.891131232081651</v>
      </c>
      <c r="BH38" s="28">
        <v>22.274135923669377</v>
      </c>
      <c r="BI38" s="28">
        <v>76.297796496854403</v>
      </c>
      <c r="BJ38" s="28">
        <v>111.98168638875818</v>
      </c>
      <c r="BK38" s="28">
        <v>1128.5005763779561</v>
      </c>
      <c r="BL38" s="28">
        <v>383.77064901631212</v>
      </c>
      <c r="BM38" s="28">
        <v>15.528270821560055</v>
      </c>
      <c r="BN38" s="28">
        <v>27.459599456396369</v>
      </c>
      <c r="BO38" s="28">
        <v>0.40579198720870324</v>
      </c>
      <c r="BP38" s="28">
        <v>13.770914294673041</v>
      </c>
      <c r="BQ38" s="28">
        <v>5.3709065280230579</v>
      </c>
      <c r="BR38" s="28">
        <v>1.1799790000000001</v>
      </c>
      <c r="BS38" s="28">
        <v>2.3935800305773594</v>
      </c>
      <c r="BT38" s="28">
        <v>6.0490108524329147E-3</v>
      </c>
      <c r="BU38" s="28">
        <v>0.69849045171086044</v>
      </c>
      <c r="BV38" s="28">
        <v>108.32148891561366</v>
      </c>
      <c r="BW38" s="28">
        <v>4.640586603223365E-2</v>
      </c>
      <c r="BX38" s="28">
        <v>1.9659248994383776</v>
      </c>
      <c r="BY38" s="28">
        <v>13.793282694283858</v>
      </c>
      <c r="BZ38" s="28">
        <v>7.1377253920204797</v>
      </c>
      <c r="CA38" s="28">
        <v>12.598028455597163</v>
      </c>
      <c r="CB38" s="28">
        <v>1.6410014603487348</v>
      </c>
      <c r="CC38" s="28">
        <v>1.3060646595742911</v>
      </c>
      <c r="CD38" s="28">
        <v>121.82156385221175</v>
      </c>
      <c r="CE38" s="28">
        <v>0.93277433600846982</v>
      </c>
      <c r="CF38" s="28">
        <v>8.7443999999999994E-2</v>
      </c>
      <c r="CG38" s="28">
        <v>9.149685145452036</v>
      </c>
      <c r="CH38" s="28">
        <v>0.1288790251619911</v>
      </c>
      <c r="CI38" s="28">
        <v>9.4506999999999994E-2</v>
      </c>
      <c r="CJ38" s="28">
        <v>1.7832899999999998</v>
      </c>
      <c r="CK38" s="28">
        <v>6.0669394010022879</v>
      </c>
      <c r="CL38" s="28">
        <v>6.7736686841256433E-3</v>
      </c>
      <c r="CM38" s="28">
        <v>1.9491780000000001</v>
      </c>
      <c r="CN38" s="28">
        <v>0.97132816865064142</v>
      </c>
      <c r="CO38" s="28">
        <v>0.22038789025639199</v>
      </c>
      <c r="CP38" s="28">
        <v>14.714278842944502</v>
      </c>
      <c r="CQ38" s="28">
        <v>0.98469778477294945</v>
      </c>
      <c r="CR38" s="28">
        <v>21.232933331207498</v>
      </c>
      <c r="CS38" s="28">
        <v>5.8588479089163682E-2</v>
      </c>
      <c r="CT38" s="28">
        <v>1.3435906702204354</v>
      </c>
      <c r="CU38" s="28">
        <v>6.0620812919196148</v>
      </c>
      <c r="CV38" s="28">
        <v>5.1407861823480498</v>
      </c>
      <c r="CW38" s="28">
        <v>9.6816849835727155</v>
      </c>
      <c r="CX38" s="28">
        <v>1.4490649064614085</v>
      </c>
      <c r="CY38" s="28">
        <v>0.50905493236269583</v>
      </c>
      <c r="CZ38" s="28">
        <v>0</v>
      </c>
      <c r="DA38" s="28">
        <v>18.135789365049096</v>
      </c>
      <c r="DB38" s="28">
        <v>60.370943969709501</v>
      </c>
      <c r="DC38" s="28">
        <v>0.51450743536515742</v>
      </c>
      <c r="DD38" s="28">
        <v>21.112255770148558</v>
      </c>
      <c r="DE38" s="28">
        <v>3.7730961548453372</v>
      </c>
      <c r="DF38" s="28">
        <v>16.392362138930803</v>
      </c>
      <c r="DG38" s="28">
        <v>2.5420510300690431</v>
      </c>
      <c r="DH38" s="28">
        <v>2.7262976103334924</v>
      </c>
      <c r="DI38" s="28">
        <v>0</v>
      </c>
      <c r="DJ38" s="28">
        <v>14.157705141629055</v>
      </c>
      <c r="DK38" s="28">
        <v>0.65394984982811466</v>
      </c>
      <c r="DL38" s="28">
        <v>0</v>
      </c>
      <c r="DM38" s="28">
        <v>2.9069219607395755</v>
      </c>
      <c r="DN38" s="28">
        <v>44.670758530450364</v>
      </c>
      <c r="DO38" s="28">
        <v>32.219356851191726</v>
      </c>
      <c r="DP38" s="28">
        <v>16.369383559843005</v>
      </c>
      <c r="DQ38" s="28">
        <v>6.5470103885421596</v>
      </c>
      <c r="DR38" s="28">
        <v>7.1040000000000009E-3</v>
      </c>
      <c r="DS38" s="28">
        <v>105.1259729555204</v>
      </c>
      <c r="DT38" s="28">
        <v>21.893104884452871</v>
      </c>
      <c r="DU38" s="28">
        <v>8.1432095299753442</v>
      </c>
      <c r="DV38" s="28">
        <v>9.7707134298677492</v>
      </c>
      <c r="DW38" s="28">
        <v>1.0967003719271764</v>
      </c>
      <c r="DX38" s="28">
        <v>8.912648079652967E-3</v>
      </c>
      <c r="DY38" s="28">
        <v>15.46850406543572</v>
      </c>
      <c r="DZ38" s="28">
        <v>9.3333535809924797</v>
      </c>
      <c r="EA38" s="28">
        <v>1.4704148982584391</v>
      </c>
      <c r="EB38" s="28">
        <v>5.3797093340917046</v>
      </c>
      <c r="EC38" s="28">
        <v>88.108498878723282</v>
      </c>
      <c r="ED38" s="28">
        <v>5.2116525647910947</v>
      </c>
      <c r="EE38" s="28">
        <v>67.488547672570832</v>
      </c>
      <c r="EF38" s="28">
        <v>32.219356851191726</v>
      </c>
      <c r="EG38" s="28">
        <v>16.369383559843005</v>
      </c>
      <c r="EH38" s="28">
        <v>6.5470103885421596</v>
      </c>
      <c r="EI38" s="28">
        <v>7.1040000000000009E-3</v>
      </c>
      <c r="EJ38" s="28">
        <v>105.1259729555204</v>
      </c>
      <c r="EK38" s="28">
        <v>21.893104884452871</v>
      </c>
      <c r="EL38" s="28">
        <v>8.1432095299753442</v>
      </c>
      <c r="EM38" s="28">
        <v>9.7707134298677492</v>
      </c>
      <c r="EN38" s="28">
        <v>1.0967003719271764</v>
      </c>
      <c r="EO38" s="28">
        <v>8.912648079652967E-3</v>
      </c>
      <c r="EP38" s="28">
        <v>15.46850406543572</v>
      </c>
      <c r="EQ38" s="28">
        <v>9.3333535809924797</v>
      </c>
      <c r="ER38" s="28">
        <v>1.4704148982584391</v>
      </c>
      <c r="ES38" s="28">
        <v>5.3797093340917046</v>
      </c>
      <c r="ET38" s="28">
        <v>88.108498878723282</v>
      </c>
      <c r="EU38" s="28">
        <v>5.2116525647910947</v>
      </c>
      <c r="EV38" s="28">
        <v>67.488547672570832</v>
      </c>
    </row>
    <row r="39" spans="1:152" s="3" customFormat="1" ht="15" customHeight="1" x14ac:dyDescent="0.25">
      <c r="A39"/>
      <c r="B39" s="10" t="s">
        <v>429</v>
      </c>
      <c r="C39" s="9">
        <v>0.43590536562889665</v>
      </c>
      <c r="D39" s="9">
        <v>0.22419757496739762</v>
      </c>
      <c r="E39" s="9">
        <v>0.22217377161919574</v>
      </c>
      <c r="F39" s="9">
        <v>0.10798694962667124</v>
      </c>
      <c r="G39" s="9">
        <v>0.13329647791070692</v>
      </c>
      <c r="H39" s="9">
        <v>2.5649926802656452E-2</v>
      </c>
      <c r="I39" s="9">
        <v>0.10895674775802854</v>
      </c>
      <c r="J39" s="9">
        <v>0.7708404293680412</v>
      </c>
      <c r="K39" s="9">
        <v>3.9836958789419126E-2</v>
      </c>
      <c r="L39" s="9">
        <v>0.17290772838773916</v>
      </c>
      <c r="M39" s="9">
        <v>8.0023486970602534E-2</v>
      </c>
      <c r="N39" s="9">
        <v>9.2231799294073546E-2</v>
      </c>
      <c r="O39" s="9">
        <v>3.5208842410850746E-2</v>
      </c>
      <c r="P39" s="9">
        <v>0.24180281534345274</v>
      </c>
      <c r="Q39" s="9">
        <v>7.2629539517394107E-2</v>
      </c>
      <c r="R39" s="9">
        <v>3.5248080550753985E-2</v>
      </c>
      <c r="S39" s="9">
        <v>9.624507184618987E-2</v>
      </c>
      <c r="T39" s="9">
        <v>4.492648601805712E-2</v>
      </c>
      <c r="U39" s="9">
        <v>8.6982286823990163E-3</v>
      </c>
      <c r="V39" s="9">
        <v>0.17015988737673857</v>
      </c>
      <c r="W39" s="9">
        <v>3.9538289086270599E-2</v>
      </c>
      <c r="X39" s="9">
        <v>7.5698019505236275E-2</v>
      </c>
      <c r="Y39" s="9">
        <v>5.4188582911919643E-2</v>
      </c>
      <c r="Z39" s="9">
        <v>1</v>
      </c>
      <c r="AA39" s="9">
        <v>3.0365782036298118E-2</v>
      </c>
      <c r="AB39" s="9">
        <v>6.9068354179111238E-2</v>
      </c>
      <c r="AC39" s="9">
        <v>2.9684404352127519E-2</v>
      </c>
      <c r="AD39" s="9">
        <v>3.625207912336214E-3</v>
      </c>
      <c r="AE39" s="9">
        <v>1.8474106670844367E-2</v>
      </c>
      <c r="AF39" s="9">
        <v>2.2563389237003739E-2</v>
      </c>
      <c r="AG39" s="9">
        <v>2.9787885452045797E-2</v>
      </c>
      <c r="AH39" s="9">
        <v>3.2426916226654064E-2</v>
      </c>
      <c r="AI39" s="9">
        <v>0.13021689189978558</v>
      </c>
      <c r="AJ39" s="9">
        <v>3.97123499787621E-2</v>
      </c>
      <c r="AK39" s="9">
        <v>2.3627509228486807E-2</v>
      </c>
      <c r="AL39" s="9">
        <v>3.4175174249316993E-2</v>
      </c>
      <c r="AM39" s="9">
        <v>2.8225031663247052E-2</v>
      </c>
      <c r="AN39" s="9">
        <v>1.8986105910082183E-2</v>
      </c>
      <c r="AO39" s="9">
        <v>6.1885432560597258E-3</v>
      </c>
      <c r="AP39" s="9">
        <v>2.4849702788719199E-3</v>
      </c>
      <c r="AQ39" s="9">
        <v>6.5680115697472662E-3</v>
      </c>
      <c r="AR39" s="9">
        <v>3.8333273513727853E-2</v>
      </c>
      <c r="AS39" s="9">
        <v>7.6394012724783938E-2</v>
      </c>
      <c r="AT39" s="9">
        <v>6.9544019961135647E-3</v>
      </c>
      <c r="AU39" s="9">
        <v>2.0081541324072746E-2</v>
      </c>
      <c r="AV39" s="9">
        <v>2.8409242961048978E-2</v>
      </c>
      <c r="AW39" s="9">
        <v>1.0543949344494452E-2</v>
      </c>
      <c r="AX39" s="9">
        <v>6.4875992664136829E-3</v>
      </c>
      <c r="AY39" s="9">
        <v>1.5674308431059429E-2</v>
      </c>
      <c r="AZ39" s="9">
        <v>7.0347282583270734E-2</v>
      </c>
      <c r="BA39" s="9">
        <v>1.9831333612906508E-3</v>
      </c>
      <c r="BB39" s="9">
        <v>1.6127831896418227E-2</v>
      </c>
      <c r="BC39" s="9">
        <v>1.0964289702735676E-2</v>
      </c>
      <c r="BD39" s="9">
        <v>3.9370875095640606E-2</v>
      </c>
      <c r="BE39" s="9">
        <v>7.8401058588421252E-2</v>
      </c>
      <c r="BF39" s="9">
        <v>1.5209768477029336E-2</v>
      </c>
      <c r="BG39" s="9">
        <v>1.2829074170842735E-2</v>
      </c>
      <c r="BH39" s="9">
        <v>8.779387547881063E-3</v>
      </c>
      <c r="BI39" s="9">
        <v>3.0123316437628268E-2</v>
      </c>
      <c r="BJ39" s="9">
        <v>8.0415027981257728E-3</v>
      </c>
      <c r="BK39" s="9">
        <v>4.1702980238989117E-3</v>
      </c>
      <c r="BL39" s="9">
        <v>1.5092255209700725E-3</v>
      </c>
      <c r="BM39" s="9">
        <v>6.3379883781620183E-3</v>
      </c>
      <c r="BN39" s="9">
        <v>1.5698355021858092E-2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7.7432057749537795E-3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9.8385043463452934E-2</v>
      </c>
      <c r="CC39" s="9">
        <v>0</v>
      </c>
      <c r="CD39" s="9">
        <v>5.9513273108161395E-2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1.0878988346142008E-2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0.24356365776802175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3.2611963854021452E-3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2.7526930599398213E-4</v>
      </c>
      <c r="DP39" s="9">
        <v>2.7547588361739896E-2</v>
      </c>
      <c r="DQ39" s="9">
        <v>2.0311560866426398E-3</v>
      </c>
      <c r="DR39" s="9">
        <v>1</v>
      </c>
      <c r="DS39" s="9">
        <v>1.2642926982110809E-4</v>
      </c>
      <c r="DT39" s="9">
        <v>6.3301441872334954E-3</v>
      </c>
      <c r="DU39" s="9">
        <v>9.3384555217542395E-3</v>
      </c>
      <c r="DV39" s="9">
        <v>1.1097449615966031E-3</v>
      </c>
      <c r="DW39" s="9">
        <v>9.8600155720446805E-3</v>
      </c>
      <c r="DX39" s="9">
        <v>1</v>
      </c>
      <c r="DY39" s="9">
        <v>1.414616430097801E-3</v>
      </c>
      <c r="DZ39" s="9">
        <v>6.9460563598519728E-3</v>
      </c>
      <c r="EA39" s="9">
        <v>2.3437602571096099E-2</v>
      </c>
      <c r="EB39" s="9">
        <v>4.8077379009248564E-2</v>
      </c>
      <c r="EC39" s="9">
        <v>3.4247476980911271E-3</v>
      </c>
      <c r="ED39" s="9">
        <v>5.5692199944759553E-2</v>
      </c>
      <c r="EE39" s="9">
        <v>7.978512055603907E-3</v>
      </c>
      <c r="EF39" s="9">
        <v>2.7526930599398213E-4</v>
      </c>
      <c r="EG39" s="9">
        <v>2.7547588361739896E-2</v>
      </c>
      <c r="EH39" s="9">
        <v>2.0311560866426398E-3</v>
      </c>
      <c r="EI39" s="9">
        <v>1</v>
      </c>
      <c r="EJ39" s="9">
        <v>1.2642926982110809E-4</v>
      </c>
      <c r="EK39" s="9">
        <v>6.3301441872334954E-3</v>
      </c>
      <c r="EL39" s="9">
        <v>9.3384555217542395E-3</v>
      </c>
      <c r="EM39" s="9">
        <v>1.1097449615966031E-3</v>
      </c>
      <c r="EN39" s="9">
        <v>9.8600155720446805E-3</v>
      </c>
      <c r="EO39" s="9">
        <v>1</v>
      </c>
      <c r="EP39" s="9">
        <v>1.414616430097801E-3</v>
      </c>
      <c r="EQ39" s="9">
        <v>6.9460563598519728E-3</v>
      </c>
      <c r="ER39" s="9">
        <v>2.3437602571096099E-2</v>
      </c>
      <c r="ES39" s="9">
        <v>4.8077379009248564E-2</v>
      </c>
      <c r="ET39" s="9">
        <v>3.4247476980911271E-3</v>
      </c>
      <c r="EU39" s="9">
        <v>5.5692199944759553E-2</v>
      </c>
      <c r="EV39" s="9">
        <v>7.978512055603907E-3</v>
      </c>
    </row>
    <row r="40" spans="1:152" s="3" customFormat="1" ht="15" customHeight="1" x14ac:dyDescent="0.25">
      <c r="A40"/>
      <c r="B40" s="18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152" s="3" customFormat="1" ht="15" customHeight="1" x14ac:dyDescent="0.25">
      <c r="A41"/>
      <c r="B41" s="18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152" s="3" customFormat="1" ht="15" customHeight="1" x14ac:dyDescent="0.25">
      <c r="A42"/>
      <c r="B42" s="16" t="s">
        <v>440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152" s="3" customFormat="1" ht="15" customHeight="1" x14ac:dyDescent="0.25">
      <c r="A43"/>
      <c r="B43" s="30"/>
      <c r="C43" s="30" t="s">
        <v>292</v>
      </c>
      <c r="D43" s="30" t="s">
        <v>293</v>
      </c>
      <c r="E43" s="30" t="s">
        <v>30</v>
      </c>
      <c r="F43" s="30" t="s">
        <v>294</v>
      </c>
      <c r="G43" s="30" t="s">
        <v>295</v>
      </c>
      <c r="H43" s="30" t="s">
        <v>17</v>
      </c>
      <c r="I43" s="30" t="s">
        <v>296</v>
      </c>
      <c r="J43" s="30" t="s">
        <v>297</v>
      </c>
      <c r="K43" s="30" t="s">
        <v>46</v>
      </c>
      <c r="L43" s="30" t="s">
        <v>72</v>
      </c>
      <c r="M43" s="30" t="s">
        <v>298</v>
      </c>
      <c r="N43" s="30" t="s">
        <v>28</v>
      </c>
      <c r="O43" s="30" t="s">
        <v>83</v>
      </c>
      <c r="P43" s="30" t="s">
        <v>27</v>
      </c>
      <c r="Q43" s="30" t="s">
        <v>7</v>
      </c>
      <c r="R43" s="30" t="s">
        <v>93</v>
      </c>
      <c r="S43" s="30" t="s">
        <v>299</v>
      </c>
      <c r="T43" s="30" t="s">
        <v>88</v>
      </c>
      <c r="U43" s="30" t="s">
        <v>22</v>
      </c>
      <c r="V43" s="30" t="s">
        <v>10</v>
      </c>
      <c r="W43" s="30" t="s">
        <v>92</v>
      </c>
      <c r="X43" s="30" t="s">
        <v>43</v>
      </c>
      <c r="Y43" s="30" t="s">
        <v>97</v>
      </c>
      <c r="Z43" s="30" t="s">
        <v>300</v>
      </c>
      <c r="AA43" s="30" t="s">
        <v>70</v>
      </c>
      <c r="AB43" s="30" t="s">
        <v>8</v>
      </c>
      <c r="AC43" s="30" t="s">
        <v>301</v>
      </c>
      <c r="AD43" s="30" t="s">
        <v>302</v>
      </c>
      <c r="AE43" s="30" t="s">
        <v>303</v>
      </c>
      <c r="AF43" s="30" t="s">
        <v>58</v>
      </c>
      <c r="AG43" s="30" t="s">
        <v>38</v>
      </c>
      <c r="AH43" s="30" t="s">
        <v>33</v>
      </c>
      <c r="AI43" s="30" t="s">
        <v>87</v>
      </c>
      <c r="AJ43" s="30" t="s">
        <v>55</v>
      </c>
      <c r="AK43" s="30" t="s">
        <v>154</v>
      </c>
      <c r="AL43" s="30" t="s">
        <v>81</v>
      </c>
      <c r="AM43" s="30" t="s">
        <v>25</v>
      </c>
      <c r="AN43" s="30" t="s">
        <v>304</v>
      </c>
      <c r="AO43" s="30" t="s">
        <v>305</v>
      </c>
      <c r="AP43" s="30" t="s">
        <v>84</v>
      </c>
      <c r="AQ43" s="30" t="s">
        <v>306</v>
      </c>
      <c r="AR43" s="30" t="s">
        <v>91</v>
      </c>
      <c r="AS43" s="30" t="s">
        <v>31</v>
      </c>
      <c r="AT43" s="30" t="s">
        <v>34</v>
      </c>
      <c r="AU43" s="30" t="s">
        <v>73</v>
      </c>
      <c r="AV43" s="30" t="s">
        <v>82</v>
      </c>
      <c r="AW43" s="30" t="s">
        <v>57</v>
      </c>
      <c r="AX43" s="30" t="s">
        <v>21</v>
      </c>
      <c r="AY43" s="30" t="s">
        <v>307</v>
      </c>
      <c r="AZ43" s="30" t="s">
        <v>308</v>
      </c>
      <c r="BA43" s="30" t="s">
        <v>309</v>
      </c>
      <c r="BB43" s="30" t="s">
        <v>310</v>
      </c>
      <c r="BC43" s="30" t="s">
        <v>311</v>
      </c>
      <c r="BD43" s="30" t="s">
        <v>312</v>
      </c>
      <c r="BE43" s="30" t="s">
        <v>313</v>
      </c>
      <c r="BF43" s="30" t="s">
        <v>314</v>
      </c>
      <c r="BG43" s="30" t="s">
        <v>315</v>
      </c>
      <c r="BH43" s="30" t="s">
        <v>316</v>
      </c>
      <c r="BI43" s="30" t="s">
        <v>317</v>
      </c>
      <c r="BJ43" s="30" t="s">
        <v>32</v>
      </c>
      <c r="BK43" s="30" t="s">
        <v>51</v>
      </c>
      <c r="BL43" s="30" t="s">
        <v>59</v>
      </c>
      <c r="BM43" s="30" t="s">
        <v>68</v>
      </c>
      <c r="BN43" s="30" t="s">
        <v>318</v>
      </c>
    </row>
    <row r="44" spans="1:152" s="3" customFormat="1" ht="15" customHeight="1" x14ac:dyDescent="0.25">
      <c r="A44"/>
      <c r="B44" s="10" t="s">
        <v>428</v>
      </c>
      <c r="C44" s="28">
        <v>944.05978299999992</v>
      </c>
      <c r="D44" s="28">
        <v>541.04108430642657</v>
      </c>
      <c r="E44" s="28">
        <v>381.96176842263094</v>
      </c>
      <c r="F44" s="28">
        <v>112.8636906186982</v>
      </c>
      <c r="G44" s="28">
        <v>204.98704924825836</v>
      </c>
      <c r="H44" s="28">
        <v>106.5985281873148</v>
      </c>
      <c r="I44" s="28">
        <v>61.520112566923977</v>
      </c>
      <c r="J44" s="28">
        <v>45.883801951284539</v>
      </c>
      <c r="K44" s="28">
        <v>44.582901539751852</v>
      </c>
      <c r="L44" s="28">
        <v>47.02846557398864</v>
      </c>
      <c r="M44" s="28">
        <v>28.16199901153394</v>
      </c>
      <c r="N44" s="28">
        <v>20.183437590501978</v>
      </c>
      <c r="O44" s="28">
        <v>3.1150859069923205</v>
      </c>
      <c r="P44" s="28">
        <v>14.535557467005578</v>
      </c>
      <c r="Q44" s="28">
        <v>9.356387916679763</v>
      </c>
      <c r="R44" s="28">
        <v>8.6984187035558982</v>
      </c>
      <c r="S44" s="28">
        <v>6.3232793034219599</v>
      </c>
      <c r="T44" s="28">
        <v>6.8651747653688684</v>
      </c>
      <c r="U44" s="28">
        <v>5.5660689999999997</v>
      </c>
      <c r="V44" s="28">
        <v>1.4593853557717502</v>
      </c>
      <c r="W44" s="28">
        <v>8.3729790222576916</v>
      </c>
      <c r="X44" s="28">
        <v>5.9092853465557447</v>
      </c>
      <c r="Y44" s="28">
        <v>4.769265695068607</v>
      </c>
      <c r="Z44" s="28">
        <v>2.364195</v>
      </c>
      <c r="AA44" s="28">
        <v>2.242624730705439</v>
      </c>
      <c r="AB44" s="28">
        <v>3.6182385997202111</v>
      </c>
      <c r="AC44" s="28">
        <v>0.46572422301755212</v>
      </c>
      <c r="AD44" s="28">
        <v>1.234441053744666</v>
      </c>
      <c r="AE44" s="28">
        <v>0.97934148359938855</v>
      </c>
      <c r="AF44" s="28">
        <v>0.46712802972244066</v>
      </c>
      <c r="AG44" s="28">
        <v>0.6017346232373304</v>
      </c>
      <c r="AH44" s="28">
        <v>0.35694085397620812</v>
      </c>
      <c r="AI44" s="28">
        <v>0.274271889293418</v>
      </c>
      <c r="AJ44" s="28">
        <v>0</v>
      </c>
      <c r="AK44" s="28">
        <v>0.21286660359508042</v>
      </c>
      <c r="AL44" s="28">
        <v>0.19173970119774505</v>
      </c>
      <c r="AM44" s="28">
        <v>0.12968959501832664</v>
      </c>
      <c r="AN44" s="28">
        <v>6.610382646092558E-2</v>
      </c>
      <c r="AO44" s="28">
        <v>1.4487E-2</v>
      </c>
      <c r="AP44" s="28">
        <v>0</v>
      </c>
      <c r="AQ44" s="28">
        <v>4.114109962784275E-2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0.4355280421500547</v>
      </c>
      <c r="BH44" s="28">
        <v>0.87105808561852494</v>
      </c>
      <c r="BI44" s="28">
        <v>0</v>
      </c>
      <c r="BJ44" s="28">
        <v>0</v>
      </c>
      <c r="BK44" s="28">
        <v>1.49264081828469</v>
      </c>
      <c r="BL44" s="28">
        <v>0</v>
      </c>
      <c r="BM44" s="28">
        <v>0</v>
      </c>
      <c r="BN44" s="28">
        <v>0</v>
      </c>
    </row>
    <row r="45" spans="1:152" s="3" customFormat="1" ht="15" customHeight="1" x14ac:dyDescent="0.25">
      <c r="A45"/>
      <c r="B45" s="10" t="s">
        <v>250</v>
      </c>
      <c r="C45" s="28">
        <v>944.05978299999992</v>
      </c>
      <c r="D45" s="28">
        <v>393.39735665405777</v>
      </c>
      <c r="E45" s="28">
        <v>381.87821842263094</v>
      </c>
      <c r="F45" s="28">
        <v>99.5778967837511</v>
      </c>
      <c r="G45" s="28">
        <v>74.030695841495501</v>
      </c>
      <c r="H45" s="28">
        <v>92.051388449089032</v>
      </c>
      <c r="I45" s="28">
        <v>61.520112566923977</v>
      </c>
      <c r="J45" s="28">
        <v>45.883801951284539</v>
      </c>
      <c r="K45" s="28">
        <v>40.349255139828017</v>
      </c>
      <c r="L45" s="28">
        <v>39.408098425129481</v>
      </c>
      <c r="M45" s="28">
        <v>28.16199901153394</v>
      </c>
      <c r="N45" s="28">
        <v>20.183437590501978</v>
      </c>
      <c r="O45" s="28">
        <v>3.1150859069923205</v>
      </c>
      <c r="P45" s="28">
        <v>13.092794467005579</v>
      </c>
      <c r="Q45" s="28">
        <v>9.356387916679763</v>
      </c>
      <c r="R45" s="28">
        <v>8.412481209132034</v>
      </c>
      <c r="S45" s="28">
        <v>5.9737683034219602</v>
      </c>
      <c r="T45" s="28">
        <v>4.5736545374677764</v>
      </c>
      <c r="U45" s="28">
        <v>5.5660689999999997</v>
      </c>
      <c r="V45" s="28">
        <v>2.1020995778273561E-2</v>
      </c>
      <c r="W45" s="28">
        <v>4.1339301311894507</v>
      </c>
      <c r="X45" s="28">
        <v>3.9578943465557446</v>
      </c>
      <c r="Y45" s="28">
        <v>2.6217617112011768</v>
      </c>
      <c r="Z45" s="28">
        <v>0</v>
      </c>
      <c r="AA45" s="28">
        <v>2.242624730705439</v>
      </c>
      <c r="AB45" s="28">
        <v>3.3698945997202112</v>
      </c>
      <c r="AC45" s="28">
        <v>0</v>
      </c>
      <c r="AD45" s="28">
        <v>1.234441053744666</v>
      </c>
      <c r="AE45" s="28">
        <v>0.97934148359938855</v>
      </c>
      <c r="AF45" s="28">
        <v>0.46712802972244066</v>
      </c>
      <c r="AG45" s="28">
        <v>0.6017346232373304</v>
      </c>
      <c r="AH45" s="28">
        <v>0.35694085397620812</v>
      </c>
      <c r="AI45" s="28">
        <v>0.274271889293418</v>
      </c>
      <c r="AJ45" s="28">
        <v>0</v>
      </c>
      <c r="AK45" s="28">
        <v>0.21286660359508042</v>
      </c>
      <c r="AL45" s="28">
        <v>0.19173970119774505</v>
      </c>
      <c r="AM45" s="28">
        <v>0.12968959501832664</v>
      </c>
      <c r="AN45" s="28">
        <v>6.610382646092558E-2</v>
      </c>
      <c r="AO45" s="28">
        <v>1.4487E-2</v>
      </c>
      <c r="AP45" s="28">
        <v>0</v>
      </c>
      <c r="AQ45" s="28">
        <v>4.114109962784275E-2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0.4355280421500547</v>
      </c>
      <c r="BH45" s="28">
        <v>0.87105808561852494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</row>
    <row r="46" spans="1:152" s="3" customFormat="1" ht="15" customHeight="1" x14ac:dyDescent="0.25">
      <c r="A46"/>
      <c r="B46" s="10" t="s">
        <v>251</v>
      </c>
      <c r="C46" s="28">
        <v>0</v>
      </c>
      <c r="D46" s="28">
        <v>146.08674147350996</v>
      </c>
      <c r="E46" s="28">
        <v>0</v>
      </c>
      <c r="F46" s="28">
        <v>4.3097311613284086</v>
      </c>
      <c r="G46" s="28">
        <v>130.95635340676287</v>
      </c>
      <c r="H46" s="28">
        <v>12.83199944437829</v>
      </c>
      <c r="I46" s="28">
        <v>0</v>
      </c>
      <c r="J46" s="28">
        <v>0</v>
      </c>
      <c r="K46" s="28">
        <v>4.2336463999238356</v>
      </c>
      <c r="L46" s="28">
        <v>7.6203671488591613</v>
      </c>
      <c r="M46" s="28">
        <v>0</v>
      </c>
      <c r="N46" s="28">
        <v>0</v>
      </c>
      <c r="O46" s="28">
        <v>0</v>
      </c>
      <c r="P46" s="28">
        <v>1.442763</v>
      </c>
      <c r="Q46" s="28">
        <v>0</v>
      </c>
      <c r="R46" s="28">
        <v>0</v>
      </c>
      <c r="S46" s="28">
        <v>0.34951100000000002</v>
      </c>
      <c r="T46" s="28">
        <v>2.1614352279010913</v>
      </c>
      <c r="U46" s="28">
        <v>0</v>
      </c>
      <c r="V46" s="28">
        <v>1.4383643599934766</v>
      </c>
      <c r="W46" s="28">
        <v>3.4966571065117251</v>
      </c>
      <c r="X46" s="28">
        <v>1.7738879999999999</v>
      </c>
      <c r="Y46" s="28">
        <v>2.1475039838674301</v>
      </c>
      <c r="Z46" s="28">
        <v>2.364195</v>
      </c>
      <c r="AA46" s="28">
        <v>0</v>
      </c>
      <c r="AB46" s="28">
        <v>0.24834400000000001</v>
      </c>
      <c r="AC46" s="28">
        <v>0.46572422301755212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1.49264081828469</v>
      </c>
      <c r="BL46" s="28">
        <v>0</v>
      </c>
      <c r="BM46" s="28">
        <v>0</v>
      </c>
      <c r="BN46" s="28">
        <v>0</v>
      </c>
    </row>
    <row r="47" spans="1:152" s="3" customFormat="1" ht="15" customHeight="1" x14ac:dyDescent="0.25">
      <c r="A47"/>
      <c r="B47" s="10" t="s">
        <v>252</v>
      </c>
      <c r="C47" s="28">
        <v>0</v>
      </c>
      <c r="D47" s="28">
        <v>1.1632231466923399</v>
      </c>
      <c r="E47" s="28">
        <v>8.3549999999999999E-2</v>
      </c>
      <c r="F47" s="28">
        <v>8.9760626736186691</v>
      </c>
      <c r="G47" s="28">
        <v>0</v>
      </c>
      <c r="H47" s="28">
        <v>1.7151402938475537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0.28593749442386285</v>
      </c>
      <c r="S47" s="28">
        <v>0</v>
      </c>
      <c r="T47" s="28">
        <v>0.13008500000000001</v>
      </c>
      <c r="U47" s="28">
        <v>0</v>
      </c>
      <c r="V47" s="28">
        <v>0</v>
      </c>
      <c r="W47" s="28">
        <v>0.74239178455651456</v>
      </c>
      <c r="X47" s="28">
        <v>0.17750299999999999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</row>
    <row r="48" spans="1:152" s="3" customFormat="1" ht="15" customHeight="1" x14ac:dyDescent="0.25">
      <c r="A48"/>
      <c r="B48" s="10" t="s">
        <v>253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</row>
    <row r="49" spans="1:66" s="3" customFormat="1" ht="15" customHeight="1" x14ac:dyDescent="0.25">
      <c r="A49"/>
      <c r="B49" s="10" t="s">
        <v>254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</row>
    <row r="50" spans="1:66" s="3" customFormat="1" ht="15" customHeight="1" x14ac:dyDescent="0.25">
      <c r="A50"/>
      <c r="B50" s="18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1:66" s="3" customFormat="1" ht="15" customHeight="1" x14ac:dyDescent="0.25">
      <c r="A51"/>
      <c r="B51" s="18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1:66" s="3" customFormat="1" ht="15" customHeight="1" x14ac:dyDescent="0.25">
      <c r="A52"/>
      <c r="B52" s="30"/>
      <c r="C52" s="30" t="s">
        <v>292</v>
      </c>
      <c r="D52" s="30" t="s">
        <v>293</v>
      </c>
      <c r="E52" s="30" t="s">
        <v>30</v>
      </c>
      <c r="F52" s="30" t="s">
        <v>294</v>
      </c>
      <c r="G52" s="30" t="s">
        <v>295</v>
      </c>
      <c r="H52" s="30" t="s">
        <v>17</v>
      </c>
      <c r="I52" s="30" t="s">
        <v>296</v>
      </c>
      <c r="J52" s="30" t="s">
        <v>297</v>
      </c>
      <c r="K52" s="30" t="s">
        <v>46</v>
      </c>
      <c r="L52" s="30" t="s">
        <v>72</v>
      </c>
      <c r="M52" s="30" t="s">
        <v>298</v>
      </c>
      <c r="N52" s="30" t="s">
        <v>28</v>
      </c>
      <c r="O52" s="30" t="s">
        <v>83</v>
      </c>
      <c r="P52" s="30" t="s">
        <v>27</v>
      </c>
      <c r="Q52" s="30" t="s">
        <v>7</v>
      </c>
      <c r="R52" s="30" t="s">
        <v>93</v>
      </c>
      <c r="S52" s="30" t="s">
        <v>299</v>
      </c>
      <c r="T52" s="30" t="s">
        <v>88</v>
      </c>
      <c r="U52" s="30" t="s">
        <v>22</v>
      </c>
      <c r="V52" s="30" t="s">
        <v>10</v>
      </c>
      <c r="W52" s="30" t="s">
        <v>92</v>
      </c>
      <c r="X52" s="30" t="s">
        <v>43</v>
      </c>
      <c r="Y52" s="30" t="s">
        <v>97</v>
      </c>
      <c r="Z52" s="30" t="s">
        <v>300</v>
      </c>
      <c r="AA52" s="30" t="s">
        <v>70</v>
      </c>
      <c r="AB52" s="30" t="s">
        <v>8</v>
      </c>
      <c r="AC52" s="30" t="s">
        <v>301</v>
      </c>
      <c r="AD52" s="30" t="s">
        <v>302</v>
      </c>
      <c r="AE52" s="30" t="s">
        <v>303</v>
      </c>
      <c r="AF52" s="30" t="s">
        <v>58</v>
      </c>
      <c r="AG52" s="30" t="s">
        <v>38</v>
      </c>
      <c r="AH52" s="30" t="s">
        <v>33</v>
      </c>
      <c r="AI52" s="30" t="s">
        <v>87</v>
      </c>
      <c r="AJ52" s="30" t="s">
        <v>55</v>
      </c>
      <c r="AK52" s="30" t="s">
        <v>154</v>
      </c>
      <c r="AL52" s="30" t="s">
        <v>81</v>
      </c>
      <c r="AM52" s="30" t="s">
        <v>25</v>
      </c>
      <c r="AN52" s="30" t="s">
        <v>304</v>
      </c>
      <c r="AO52" s="30" t="s">
        <v>305</v>
      </c>
      <c r="AP52" s="30" t="s">
        <v>84</v>
      </c>
      <c r="AQ52" s="30" t="s">
        <v>306</v>
      </c>
      <c r="AR52" s="30" t="s">
        <v>91</v>
      </c>
      <c r="AS52" s="30" t="s">
        <v>31</v>
      </c>
      <c r="AT52" s="30" t="s">
        <v>34</v>
      </c>
      <c r="AU52" s="30" t="s">
        <v>73</v>
      </c>
      <c r="AV52" s="30" t="s">
        <v>82</v>
      </c>
      <c r="AW52" s="30" t="s">
        <v>57</v>
      </c>
      <c r="AX52" s="30" t="s">
        <v>21</v>
      </c>
      <c r="AY52" s="30" t="s">
        <v>307</v>
      </c>
      <c r="AZ52" s="30" t="s">
        <v>308</v>
      </c>
      <c r="BA52" s="30" t="s">
        <v>309</v>
      </c>
      <c r="BB52" s="30" t="s">
        <v>310</v>
      </c>
      <c r="BC52" s="30" t="s">
        <v>311</v>
      </c>
      <c r="BD52" s="30" t="s">
        <v>312</v>
      </c>
      <c r="BE52" s="30" t="s">
        <v>313</v>
      </c>
      <c r="BF52" s="30" t="s">
        <v>314</v>
      </c>
      <c r="BG52" s="30" t="s">
        <v>315</v>
      </c>
      <c r="BH52" s="30" t="s">
        <v>316</v>
      </c>
      <c r="BI52" s="30" t="s">
        <v>317</v>
      </c>
      <c r="BJ52" s="30" t="s">
        <v>32</v>
      </c>
      <c r="BK52" s="30" t="s">
        <v>51</v>
      </c>
      <c r="BL52" s="30" t="s">
        <v>59</v>
      </c>
      <c r="BM52" s="30" t="s">
        <v>68</v>
      </c>
      <c r="BN52" s="30" t="s">
        <v>318</v>
      </c>
    </row>
    <row r="53" spans="1:66" s="3" customFormat="1" ht="15" customHeight="1" x14ac:dyDescent="0.25">
      <c r="A53"/>
      <c r="B53" s="10" t="s">
        <v>428</v>
      </c>
      <c r="C53" s="28">
        <v>944.05978299999992</v>
      </c>
      <c r="D53" s="28">
        <v>541.04108430642657</v>
      </c>
      <c r="E53" s="28">
        <v>381.96176842263094</v>
      </c>
      <c r="F53" s="28">
        <v>112.8636906186982</v>
      </c>
      <c r="G53" s="28">
        <v>204.98704924825836</v>
      </c>
      <c r="H53" s="28">
        <v>106.5985281873148</v>
      </c>
      <c r="I53" s="28">
        <v>61.520112566923977</v>
      </c>
      <c r="J53" s="28">
        <v>45.883801951284539</v>
      </c>
      <c r="K53" s="28">
        <v>44.582901539751852</v>
      </c>
      <c r="L53" s="28">
        <v>47.02846557398864</v>
      </c>
      <c r="M53" s="28">
        <v>28.16199901153394</v>
      </c>
      <c r="N53" s="28">
        <v>20.183437590501978</v>
      </c>
      <c r="O53" s="28">
        <v>3.1150859069923205</v>
      </c>
      <c r="P53" s="28">
        <v>14.535557467005578</v>
      </c>
      <c r="Q53" s="28">
        <v>9.356387916679763</v>
      </c>
      <c r="R53" s="28">
        <v>8.6984187035558982</v>
      </c>
      <c r="S53" s="28">
        <v>6.3232793034219599</v>
      </c>
      <c r="T53" s="28">
        <v>6.8651747653688684</v>
      </c>
      <c r="U53" s="28">
        <v>5.5660689999999997</v>
      </c>
      <c r="V53" s="28">
        <v>1.4593853557717502</v>
      </c>
      <c r="W53" s="28">
        <v>8.3729790222576916</v>
      </c>
      <c r="X53" s="28">
        <v>5.9092853465557447</v>
      </c>
      <c r="Y53" s="28">
        <v>4.769265695068607</v>
      </c>
      <c r="Z53" s="28">
        <v>2.364195</v>
      </c>
      <c r="AA53" s="28">
        <v>2.242624730705439</v>
      </c>
      <c r="AB53" s="28">
        <v>3.6182385997202111</v>
      </c>
      <c r="AC53" s="28">
        <v>0.46572422301755212</v>
      </c>
      <c r="AD53" s="28">
        <v>1.234441053744666</v>
      </c>
      <c r="AE53" s="28">
        <v>0.97934148359938855</v>
      </c>
      <c r="AF53" s="28">
        <v>0.46712802972244066</v>
      </c>
      <c r="AG53" s="28">
        <v>0.6017346232373304</v>
      </c>
      <c r="AH53" s="28">
        <v>0.35694085397620812</v>
      </c>
      <c r="AI53" s="28">
        <v>0.274271889293418</v>
      </c>
      <c r="AJ53" s="28">
        <v>0</v>
      </c>
      <c r="AK53" s="28">
        <v>0.21286660359508042</v>
      </c>
      <c r="AL53" s="28">
        <v>0.19173970119774505</v>
      </c>
      <c r="AM53" s="28">
        <v>0.12968959501832664</v>
      </c>
      <c r="AN53" s="28">
        <v>6.610382646092558E-2</v>
      </c>
      <c r="AO53" s="28">
        <v>1.4487E-2</v>
      </c>
      <c r="AP53" s="28">
        <v>0</v>
      </c>
      <c r="AQ53" s="28">
        <v>4.114109962784275E-2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0.4355280421500547</v>
      </c>
      <c r="BH53" s="28">
        <v>0.87105808561852494</v>
      </c>
      <c r="BI53" s="28">
        <v>0</v>
      </c>
      <c r="BJ53" s="28">
        <v>0</v>
      </c>
      <c r="BK53" s="28">
        <v>1.49264081828469</v>
      </c>
      <c r="BL53" s="28">
        <v>0</v>
      </c>
      <c r="BM53" s="28">
        <v>0</v>
      </c>
      <c r="BN53" s="28">
        <v>0</v>
      </c>
    </row>
    <row r="54" spans="1:66" s="3" customFormat="1" ht="15" customHeight="1" x14ac:dyDescent="0.25">
      <c r="A54"/>
      <c r="B54" s="10" t="s">
        <v>430</v>
      </c>
      <c r="C54" s="28">
        <v>1550.9694400000003</v>
      </c>
      <c r="D54" s="28">
        <v>4124.8775536544381</v>
      </c>
      <c r="E54" s="28">
        <v>3459.7134597419918</v>
      </c>
      <c r="F54" s="28">
        <v>1072.6032164504425</v>
      </c>
      <c r="G54" s="28">
        <v>6594.1450918617493</v>
      </c>
      <c r="H54" s="28">
        <v>706.25376456480126</v>
      </c>
      <c r="I54" s="28">
        <v>2167.7985508199295</v>
      </c>
      <c r="J54" s="28">
        <v>498.78130343407929</v>
      </c>
      <c r="K54" s="28">
        <v>436.56131312059</v>
      </c>
      <c r="L54" s="28">
        <v>681.12033959733901</v>
      </c>
      <c r="M54" s="28">
        <v>837.33103195955493</v>
      </c>
      <c r="N54" s="28">
        <v>368.43533074516944</v>
      </c>
      <c r="O54" s="28">
        <v>65.189896241638564</v>
      </c>
      <c r="P54" s="28">
        <v>70.50255149920666</v>
      </c>
      <c r="Q54" s="28">
        <v>278.15489385810139</v>
      </c>
      <c r="R54" s="28">
        <v>90.827804994422408</v>
      </c>
      <c r="S54" s="28">
        <v>77.993184282069464</v>
      </c>
      <c r="T54" s="28">
        <v>164.72335285194208</v>
      </c>
      <c r="U54" s="28">
        <v>234.71443314684711</v>
      </c>
      <c r="V54" s="28">
        <v>113.88474303700461</v>
      </c>
      <c r="W54" s="28">
        <v>420.23745410076043</v>
      </c>
      <c r="X54" s="28">
        <v>169.48286684072423</v>
      </c>
      <c r="Y54" s="28">
        <v>88.471277686574837</v>
      </c>
      <c r="Z54" s="28">
        <v>1128.6932069999987</v>
      </c>
      <c r="AA54" s="28">
        <v>374.67856163389575</v>
      </c>
      <c r="AB54" s="28">
        <v>77.256629965173488</v>
      </c>
      <c r="AC54" s="28">
        <v>152.65740830278688</v>
      </c>
      <c r="AD54" s="28">
        <v>22.593069064035912</v>
      </c>
      <c r="AE54" s="28">
        <v>13.367955240839875</v>
      </c>
      <c r="AF54" s="28">
        <v>23.915703322234165</v>
      </c>
      <c r="AG54" s="28">
        <v>55.036093201118085</v>
      </c>
      <c r="AH54" s="28">
        <v>14.5740756019364</v>
      </c>
      <c r="AI54" s="28">
        <v>64.057243081628613</v>
      </c>
      <c r="AJ54" s="28">
        <v>0.97716899999999995</v>
      </c>
      <c r="AK54" s="28">
        <v>1.5842794071270891</v>
      </c>
      <c r="AL54" s="28">
        <v>24.436811892357213</v>
      </c>
      <c r="AM54" s="28">
        <v>2.204174076346757</v>
      </c>
      <c r="AN54" s="28">
        <v>2.2338089146942401</v>
      </c>
      <c r="AO54" s="28">
        <v>4.7963062635704787</v>
      </c>
      <c r="AP54" s="28">
        <v>7.2561062454536032</v>
      </c>
      <c r="AQ54" s="28">
        <v>4.114109962784275E-2</v>
      </c>
      <c r="AR54" s="28">
        <v>3.0031136230095097</v>
      </c>
      <c r="AS54" s="28">
        <v>7.1932159673270117</v>
      </c>
      <c r="AT54" s="28">
        <v>4.132140234033848</v>
      </c>
      <c r="AU54" s="28">
        <v>5.1748957305424188</v>
      </c>
      <c r="AV54" s="28">
        <v>7.3044465446990117</v>
      </c>
      <c r="AW54" s="28">
        <v>2.304053340666441</v>
      </c>
      <c r="AX54" s="28">
        <v>1.0294386723539179</v>
      </c>
      <c r="AY54" s="28">
        <v>14.391727449346247</v>
      </c>
      <c r="AZ54" s="28">
        <v>123.04891137486321</v>
      </c>
      <c r="BA54" s="28">
        <v>1.5015743368348637</v>
      </c>
      <c r="BB54" s="28">
        <v>8.4678909608170052</v>
      </c>
      <c r="BC54" s="28">
        <v>0.31219502249701064</v>
      </c>
      <c r="BD54" s="28">
        <v>0.24668497657550703</v>
      </c>
      <c r="BE54" s="28">
        <v>0.15648865542046159</v>
      </c>
      <c r="BF54" s="28">
        <v>0.14902758691943555</v>
      </c>
      <c r="BG54" s="28">
        <v>14.429623649003563</v>
      </c>
      <c r="BH54" s="28">
        <v>117.87155094253875</v>
      </c>
      <c r="BI54" s="28">
        <v>1.7474536105871157</v>
      </c>
      <c r="BJ54" s="28">
        <v>1.9473824334768082</v>
      </c>
      <c r="BK54" s="28">
        <v>60.80481279087207</v>
      </c>
      <c r="BL54" s="28">
        <v>1.0274531394885622</v>
      </c>
      <c r="BM54" s="28">
        <v>0.251722</v>
      </c>
      <c r="BN54" s="28">
        <v>2.88645</v>
      </c>
    </row>
    <row r="55" spans="1:66" s="3" customFormat="1" ht="15" customHeight="1" x14ac:dyDescent="0.25">
      <c r="A55"/>
      <c r="B55" s="10" t="s">
        <v>429</v>
      </c>
      <c r="C55" s="9">
        <v>0.60869012544824852</v>
      </c>
      <c r="D55" s="9">
        <v>0.13116536849126367</v>
      </c>
      <c r="E55" s="9">
        <v>0.11040271770111151</v>
      </c>
      <c r="F55" s="9">
        <v>0.10522408369443188</v>
      </c>
      <c r="G55" s="9">
        <v>3.1086220638554922E-2</v>
      </c>
      <c r="H55" s="9">
        <v>0.15093516457643463</v>
      </c>
      <c r="I55" s="9">
        <v>2.8379072651218046E-2</v>
      </c>
      <c r="J55" s="9">
        <v>9.1991824142920592E-2</v>
      </c>
      <c r="K55" s="9">
        <v>0.10212288675116032</v>
      </c>
      <c r="L55" s="9">
        <v>6.9045751301144043E-2</v>
      </c>
      <c r="M55" s="9">
        <v>3.3633053041911186E-2</v>
      </c>
      <c r="N55" s="9">
        <v>5.4781493266892953E-2</v>
      </c>
      <c r="O55" s="9">
        <v>4.7784796212064377E-2</v>
      </c>
      <c r="P55" s="9">
        <v>0.20617065847849692</v>
      </c>
      <c r="Q55" s="9">
        <v>3.3637329859286434E-2</v>
      </c>
      <c r="R55" s="9">
        <v>9.5768236434757556E-2</v>
      </c>
      <c r="S55" s="9">
        <v>8.1074767771415049E-2</v>
      </c>
      <c r="T55" s="9">
        <v>4.1676997502227128E-2</v>
      </c>
      <c r="U55" s="9">
        <v>2.3714216997118516E-2</v>
      </c>
      <c r="V55" s="9">
        <v>1.2814581803091496E-2</v>
      </c>
      <c r="W55" s="9">
        <v>1.9924399742461081E-2</v>
      </c>
      <c r="X55" s="9">
        <v>3.4866564725442979E-2</v>
      </c>
      <c r="Y55" s="9">
        <v>5.3907503313839041E-2</v>
      </c>
      <c r="Z55" s="9">
        <v>2.0946303081630958E-3</v>
      </c>
      <c r="AA55" s="9">
        <v>5.9854631685512406E-3</v>
      </c>
      <c r="AB55" s="9">
        <v>4.6834020605756123E-2</v>
      </c>
      <c r="AC55" s="9">
        <v>3.0507803597308284E-3</v>
      </c>
      <c r="AD55" s="9">
        <v>5.4638041881156965E-2</v>
      </c>
      <c r="AE55" s="9">
        <v>7.3260380211884898E-2</v>
      </c>
      <c r="AF55" s="9">
        <v>1.9532272307800243E-2</v>
      </c>
      <c r="AG55" s="9">
        <v>1.0933454542974461E-2</v>
      </c>
      <c r="AH55" s="9">
        <v>2.4491491860299038E-2</v>
      </c>
      <c r="AI55" s="9">
        <v>4.2816686466495496E-3</v>
      </c>
      <c r="AJ55" s="9">
        <v>0</v>
      </c>
      <c r="AK55" s="9">
        <v>0.13436178153769596</v>
      </c>
      <c r="AL55" s="9">
        <v>7.8463468165302294E-3</v>
      </c>
      <c r="AM55" s="9">
        <v>5.883818179790809E-2</v>
      </c>
      <c r="AN55" s="9">
        <v>2.9592426651217727E-2</v>
      </c>
      <c r="AO55" s="9">
        <v>3.0204493216026513E-3</v>
      </c>
      <c r="AP55" s="9">
        <v>0</v>
      </c>
      <c r="AQ55" s="9">
        <v>1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3.0182910708147961E-2</v>
      </c>
      <c r="BH55" s="9">
        <v>7.3898924605069246E-3</v>
      </c>
      <c r="BI55" s="9">
        <v>0</v>
      </c>
      <c r="BJ55" s="9">
        <v>0</v>
      </c>
      <c r="BK55" s="9">
        <v>2.4548070288751271E-2</v>
      </c>
      <c r="BL55" s="9">
        <v>0</v>
      </c>
      <c r="BM55" s="9">
        <v>0</v>
      </c>
      <c r="BN55" s="9">
        <v>0</v>
      </c>
    </row>
    <row r="56" spans="1:66" s="3" customFormat="1" ht="15" customHeight="1" x14ac:dyDescent="0.25">
      <c r="A56"/>
      <c r="B56" s="15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66" ht="15" customHeight="1" x14ac:dyDescent="0.25">
      <c r="B57" s="15"/>
      <c r="C57" s="24"/>
      <c r="D57" s="2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66" ht="15" customHeight="1" x14ac:dyDescent="0.25">
      <c r="B58" s="15"/>
      <c r="C58" s="24"/>
      <c r="D58" s="2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66" ht="15" customHeight="1" x14ac:dyDescent="0.25">
      <c r="B59" s="15"/>
      <c r="C59" s="24"/>
      <c r="D59" s="2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66" ht="15" customHeight="1" x14ac:dyDescent="0.25">
      <c r="B60" s="15"/>
      <c r="C60" s="24"/>
      <c r="D60" s="2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66" ht="15" customHeight="1" x14ac:dyDescent="0.25">
      <c r="B61" s="15"/>
      <c r="C61" s="24"/>
      <c r="D61" s="2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66" ht="15" customHeight="1" x14ac:dyDescent="0.25">
      <c r="B62" s="15"/>
      <c r="C62" s="24"/>
      <c r="D62" s="2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66" ht="15" customHeight="1" x14ac:dyDescent="0.25">
      <c r="B63" s="15"/>
      <c r="C63" s="24"/>
      <c r="D63" s="2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66" ht="15" customHeight="1" x14ac:dyDescent="0.25">
      <c r="B64" s="15"/>
      <c r="C64" s="24"/>
      <c r="D64" s="2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2:20" ht="15" customHeight="1" x14ac:dyDescent="0.25">
      <c r="B65" s="15"/>
      <c r="C65" s="24"/>
      <c r="D65" s="2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2:20" ht="15" customHeight="1" x14ac:dyDescent="0.25">
      <c r="B66" s="15"/>
      <c r="C66" s="24"/>
      <c r="D66" s="2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2:20" ht="15" customHeight="1" x14ac:dyDescent="0.25">
      <c r="B67" s="15"/>
      <c r="C67" s="24"/>
      <c r="D67" s="2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2:20" ht="15" customHeight="1" x14ac:dyDescent="0.25">
      <c r="B68" s="15"/>
      <c r="C68" s="24"/>
      <c r="D68" s="2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2:20" ht="15" customHeight="1" x14ac:dyDescent="0.25">
      <c r="B69" s="15"/>
      <c r="C69" s="24"/>
      <c r="D69" s="2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2:20" ht="15" customHeight="1" x14ac:dyDescent="0.25">
      <c r="B70" s="15"/>
      <c r="C70" s="24"/>
      <c r="D70" s="2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2:20" ht="15" customHeight="1" x14ac:dyDescent="0.25">
      <c r="B71" s="15"/>
      <c r="C71" s="24"/>
      <c r="D71" s="2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2:20" ht="15" customHeight="1" x14ac:dyDescent="0.25">
      <c r="B72" s="15"/>
      <c r="C72" s="24"/>
      <c r="D72" s="2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2:20" ht="15" customHeight="1" x14ac:dyDescent="0.25">
      <c r="B73" s="15"/>
      <c r="C73" s="24"/>
      <c r="D73" s="2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2:20" ht="15" customHeight="1" x14ac:dyDescent="0.25">
      <c r="B74" s="15"/>
      <c r="C74" s="24"/>
      <c r="D74" s="2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2:20" ht="15" customHeight="1" x14ac:dyDescent="0.25">
      <c r="B75" s="15"/>
      <c r="C75" s="24"/>
      <c r="D75" s="2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2:20" ht="15" customHeight="1" x14ac:dyDescent="0.25">
      <c r="B76" s="15"/>
      <c r="C76" s="24"/>
      <c r="D76" s="2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2:20" ht="15" customHeight="1" x14ac:dyDescent="0.25">
      <c r="B77" s="15"/>
      <c r="C77" s="24"/>
      <c r="D77" s="2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2:20" ht="15" customHeight="1" x14ac:dyDescent="0.25">
      <c r="B78" s="15"/>
      <c r="C78" s="24"/>
      <c r="D78" s="2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2:20" ht="15" customHeight="1" x14ac:dyDescent="0.25">
      <c r="B79" s="15"/>
      <c r="C79" s="24"/>
      <c r="D79" s="2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2:20" ht="15" customHeight="1" x14ac:dyDescent="0.25">
      <c r="B80" s="15"/>
      <c r="C80" s="24"/>
      <c r="D80" s="2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2:20" ht="15" customHeight="1" x14ac:dyDescent="0.25">
      <c r="B81" s="15"/>
      <c r="C81" s="24"/>
      <c r="D81" s="2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2:20" ht="15" customHeight="1" x14ac:dyDescent="0.25">
      <c r="B82" s="15"/>
      <c r="C82" s="24"/>
      <c r="D82" s="2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2:20" ht="15" customHeight="1" x14ac:dyDescent="0.25">
      <c r="B83" s="15"/>
      <c r="C83" s="24"/>
      <c r="D83" s="2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2:20" ht="15" customHeight="1" x14ac:dyDescent="0.25">
      <c r="B84" s="15"/>
      <c r="C84" s="24"/>
      <c r="D84" s="2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2:20" ht="15" customHeight="1" x14ac:dyDescent="0.25">
      <c r="B85" s="15"/>
      <c r="C85" s="24"/>
      <c r="D85" s="2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2:20" ht="15" customHeight="1" x14ac:dyDescent="0.25">
      <c r="B86" s="15"/>
      <c r="C86" s="24"/>
      <c r="D86" s="2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2:20" ht="15" customHeight="1" x14ac:dyDescent="0.25">
      <c r="B87" s="15"/>
      <c r="C87" s="24"/>
      <c r="D87" s="2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2:20" ht="15" customHeight="1" x14ac:dyDescent="0.25">
      <c r="B88" s="15"/>
      <c r="C88" s="24"/>
      <c r="D88" s="2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2:20" ht="15" customHeight="1" x14ac:dyDescent="0.25">
      <c r="B89" s="15"/>
      <c r="C89" s="24"/>
      <c r="D89" s="2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2:20" ht="15" customHeight="1" x14ac:dyDescent="0.25">
      <c r="B90" s="15"/>
      <c r="C90" s="24"/>
      <c r="D90" s="2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2:20" ht="15" customHeight="1" x14ac:dyDescent="0.25">
      <c r="B91" s="15"/>
      <c r="C91" s="24"/>
      <c r="D91" s="2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2:20" ht="15" customHeight="1" x14ac:dyDescent="0.25">
      <c r="B92" s="15"/>
      <c r="C92" s="24"/>
      <c r="D92" s="2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2:20" ht="15" customHeight="1" x14ac:dyDescent="0.25">
      <c r="B93" s="15"/>
      <c r="C93" s="24"/>
      <c r="D93" s="2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2:20" ht="15" customHeight="1" x14ac:dyDescent="0.25">
      <c r="B94" s="15"/>
      <c r="C94" s="24"/>
      <c r="D94" s="2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2:20" ht="15" customHeight="1" x14ac:dyDescent="0.25">
      <c r="B95" s="15"/>
      <c r="C95" s="24"/>
      <c r="D95" s="2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2:20" ht="15" customHeight="1" x14ac:dyDescent="0.25">
      <c r="B96" s="15"/>
      <c r="C96" s="24"/>
      <c r="D96" s="2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2:20" ht="15" customHeight="1" x14ac:dyDescent="0.25">
      <c r="B97" s="15"/>
      <c r="C97" s="24"/>
      <c r="D97" s="2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2:20" ht="15" customHeight="1" x14ac:dyDescent="0.25">
      <c r="B98" s="15"/>
      <c r="C98" s="24"/>
      <c r="D98" s="2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2:20" ht="15" customHeight="1" x14ac:dyDescent="0.25">
      <c r="B99" s="15"/>
      <c r="C99" s="24"/>
      <c r="D99" s="2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2:20" ht="15" customHeight="1" x14ac:dyDescent="0.25">
      <c r="B100" s="15"/>
      <c r="C100" s="24"/>
      <c r="D100" s="2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2:20" ht="15" customHeight="1" x14ac:dyDescent="0.25">
      <c r="B101" s="15"/>
      <c r="C101" s="24"/>
      <c r="D101" s="2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2:20" ht="15" customHeight="1" x14ac:dyDescent="0.25">
      <c r="B102" s="15"/>
      <c r="C102" s="24"/>
      <c r="D102" s="2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2:20" ht="15" customHeight="1" x14ac:dyDescent="0.25">
      <c r="B103" s="15"/>
      <c r="C103" s="24"/>
      <c r="D103" s="2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2:20" ht="15" customHeight="1" x14ac:dyDescent="0.25">
      <c r="B104" s="15"/>
      <c r="C104" s="24"/>
      <c r="D104" s="2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2:20" ht="15" customHeight="1" x14ac:dyDescent="0.25">
      <c r="B105" s="15"/>
      <c r="C105" s="24"/>
      <c r="D105" s="2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2:20" ht="15" customHeight="1" x14ac:dyDescent="0.25">
      <c r="B106" s="15"/>
      <c r="C106" s="24"/>
      <c r="D106" s="2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2:20" ht="15" customHeight="1" x14ac:dyDescent="0.25">
      <c r="B107" s="15"/>
      <c r="C107" s="24"/>
      <c r="D107" s="2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2:20" ht="15" customHeight="1" x14ac:dyDescent="0.25">
      <c r="B108" s="15"/>
      <c r="C108" s="24"/>
      <c r="D108" s="2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2:20" ht="15" customHeight="1" x14ac:dyDescent="0.25">
      <c r="B109" s="15"/>
      <c r="C109" s="24"/>
      <c r="D109" s="2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2:20" ht="15" customHeight="1" x14ac:dyDescent="0.25">
      <c r="B110" s="15"/>
      <c r="C110" s="24"/>
      <c r="D110" s="2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2:20" ht="15" customHeight="1" x14ac:dyDescent="0.25">
      <c r="B111" s="15"/>
      <c r="C111" s="24"/>
      <c r="D111" s="2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2:20" ht="15" customHeight="1" x14ac:dyDescent="0.25">
      <c r="B112" s="15"/>
      <c r="C112" s="24"/>
      <c r="D112" s="2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2:20" ht="15" customHeight="1" x14ac:dyDescent="0.25">
      <c r="B113" s="15"/>
      <c r="C113" s="24"/>
      <c r="D113" s="2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2:20" ht="15" customHeight="1" x14ac:dyDescent="0.25">
      <c r="B114" s="15"/>
      <c r="C114" s="24"/>
      <c r="D114" s="2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2:20" ht="15" customHeight="1" x14ac:dyDescent="0.25">
      <c r="B115" s="15"/>
      <c r="C115" s="24"/>
      <c r="D115" s="2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2:20" ht="15" customHeight="1" x14ac:dyDescent="0.25">
      <c r="B116" s="15"/>
      <c r="C116" s="24"/>
      <c r="D116" s="2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2:20" ht="15" customHeight="1" x14ac:dyDescent="0.25">
      <c r="B117" s="15"/>
      <c r="C117" s="24"/>
      <c r="D117" s="24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2:20" ht="15" customHeight="1" x14ac:dyDescent="0.25">
      <c r="B118" s="15"/>
      <c r="C118" s="24"/>
      <c r="D118" s="2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2:20" ht="15" customHeight="1" x14ac:dyDescent="0.25">
      <c r="B119" s="15"/>
      <c r="C119" s="24"/>
      <c r="D119" s="2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2:20" ht="15" customHeight="1" x14ac:dyDescent="0.25">
      <c r="B120" s="15"/>
      <c r="C120" s="24"/>
      <c r="D120" s="2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2:20" ht="15" customHeight="1" x14ac:dyDescent="0.25">
      <c r="B121" s="15"/>
      <c r="C121" s="24"/>
      <c r="D121" s="24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2:20" ht="15" customHeight="1" x14ac:dyDescent="0.25">
      <c r="B122" s="15"/>
      <c r="C122" s="24"/>
      <c r="D122" s="2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2:20" ht="15" customHeight="1" x14ac:dyDescent="0.25">
      <c r="B123" s="15"/>
      <c r="C123" s="24"/>
      <c r="D123" s="24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2:20" ht="15" customHeight="1" x14ac:dyDescent="0.25">
      <c r="B124" s="15"/>
      <c r="C124" s="24"/>
      <c r="D124" s="24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2:20" ht="15" customHeight="1" x14ac:dyDescent="0.25">
      <c r="B125" s="15"/>
      <c r="C125" s="24"/>
      <c r="D125" s="24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2:20" ht="15" customHeight="1" x14ac:dyDescent="0.25">
      <c r="B126" s="15"/>
      <c r="C126" s="24"/>
      <c r="D126" s="24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2:20" ht="15" customHeight="1" x14ac:dyDescent="0.25">
      <c r="B127" s="15"/>
      <c r="C127" s="24"/>
      <c r="D127" s="24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spans="2:20" ht="15" customHeight="1" x14ac:dyDescent="0.25">
      <c r="B128" s="15"/>
      <c r="C128" s="24"/>
      <c r="D128" s="2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2:20" ht="15" customHeight="1" x14ac:dyDescent="0.25">
      <c r="B129" s="15"/>
      <c r="C129" s="24"/>
      <c r="D129" s="2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 spans="2:20" ht="15" customHeight="1" x14ac:dyDescent="0.25">
      <c r="B130" s="15"/>
      <c r="C130" s="24"/>
      <c r="D130" s="24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2:20" ht="15" customHeight="1" x14ac:dyDescent="0.25">
      <c r="B131" s="15"/>
      <c r="C131" s="24"/>
      <c r="D131" s="2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2:20" ht="15" customHeight="1" x14ac:dyDescent="0.25">
      <c r="B132" s="15"/>
      <c r="C132" s="24"/>
      <c r="D132" s="2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2:20" ht="15" customHeight="1" x14ac:dyDescent="0.25">
      <c r="B133" s="15"/>
      <c r="C133" s="24"/>
      <c r="D133" s="24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2:20" ht="15" customHeight="1" x14ac:dyDescent="0.25">
      <c r="B134" s="15"/>
      <c r="C134" s="24"/>
      <c r="D134" s="24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2:20" ht="15" customHeight="1" x14ac:dyDescent="0.25">
      <c r="B135" s="15"/>
      <c r="C135" s="24"/>
      <c r="D135" s="24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2:20" ht="15" customHeight="1" x14ac:dyDescent="0.25">
      <c r="B136" s="15"/>
      <c r="C136" s="24"/>
      <c r="D136" s="24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2:20" ht="15" customHeight="1" x14ac:dyDescent="0.25">
      <c r="B137" s="15"/>
      <c r="C137" s="24"/>
      <c r="D137" s="24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 spans="2:20" ht="15" customHeight="1" x14ac:dyDescent="0.25">
      <c r="B138" s="15"/>
      <c r="C138" s="24"/>
      <c r="D138" s="24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2:20" ht="15" customHeight="1" x14ac:dyDescent="0.25">
      <c r="B139" s="15"/>
      <c r="C139" s="24"/>
      <c r="D139" s="24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2:20" ht="15" customHeight="1" x14ac:dyDescent="0.25">
      <c r="B140" s="15"/>
      <c r="C140" s="24"/>
      <c r="D140" s="24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2:20" ht="15" customHeight="1" x14ac:dyDescent="0.25">
      <c r="B141" s="15"/>
      <c r="C141" s="24"/>
      <c r="D141" s="24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2:20" ht="15" customHeight="1" x14ac:dyDescent="0.25">
      <c r="B142" s="15"/>
      <c r="C142" s="24"/>
      <c r="D142" s="24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2:20" ht="15" customHeight="1" x14ac:dyDescent="0.25">
      <c r="B143" s="15"/>
      <c r="C143" s="24"/>
      <c r="D143" s="24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2:20" ht="15" customHeight="1" x14ac:dyDescent="0.25">
      <c r="B144" s="15"/>
      <c r="C144" s="24"/>
      <c r="D144" s="24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2:20" ht="15" customHeight="1" x14ac:dyDescent="0.25">
      <c r="B145" s="15"/>
      <c r="C145" s="24"/>
      <c r="D145" s="24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2:20" ht="15" customHeight="1" x14ac:dyDescent="0.25">
      <c r="B146" s="15"/>
      <c r="C146" s="24"/>
      <c r="D146" s="24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2:20" ht="15" customHeight="1" x14ac:dyDescent="0.25">
      <c r="B147" s="15"/>
      <c r="C147" s="24"/>
      <c r="D147" s="2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2:20" ht="15" customHeight="1" x14ac:dyDescent="0.25">
      <c r="B148" s="15"/>
      <c r="C148" s="24"/>
      <c r="D148" s="24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2:20" ht="15" customHeight="1" x14ac:dyDescent="0.25">
      <c r="B149" s="15"/>
      <c r="C149" s="24"/>
      <c r="D149" s="2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2:20" ht="15" customHeight="1" x14ac:dyDescent="0.25">
      <c r="B150" s="15"/>
      <c r="C150" s="24"/>
      <c r="D150" s="24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2:20" ht="15" customHeight="1" x14ac:dyDescent="0.25">
      <c r="B151" s="15"/>
      <c r="C151" s="24"/>
      <c r="D151" s="24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2:20" ht="15" customHeight="1" x14ac:dyDescent="0.25">
      <c r="B152" s="15"/>
      <c r="C152" s="24"/>
      <c r="D152" s="24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2:20" ht="15" customHeight="1" x14ac:dyDescent="0.25">
      <c r="B153" s="15"/>
      <c r="C153" s="24"/>
      <c r="D153" s="2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2:20" ht="15" customHeight="1" x14ac:dyDescent="0.25">
      <c r="B154" s="15"/>
      <c r="C154" s="24"/>
      <c r="D154" s="24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2:20" ht="15" customHeight="1" x14ac:dyDescent="0.25">
      <c r="B155" s="15"/>
      <c r="C155" s="24"/>
      <c r="D155" s="24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2:20" ht="15" customHeight="1" x14ac:dyDescent="0.25">
      <c r="B156" s="15"/>
      <c r="C156" s="24"/>
      <c r="D156" s="24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2:20" ht="15" customHeight="1" x14ac:dyDescent="0.25">
      <c r="B157" s="15"/>
      <c r="C157" s="24"/>
      <c r="D157" s="2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2:20" ht="15" customHeight="1" x14ac:dyDescent="0.25">
      <c r="B158" s="15"/>
      <c r="C158" s="24"/>
      <c r="D158" s="2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2:20" ht="15" customHeight="1" x14ac:dyDescent="0.25">
      <c r="B159" s="15"/>
      <c r="C159" s="24"/>
      <c r="D159" s="2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2:20" ht="15" customHeight="1" x14ac:dyDescent="0.25">
      <c r="B160" s="15"/>
      <c r="C160" s="24"/>
      <c r="D160" s="2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2:20" ht="15" customHeight="1" x14ac:dyDescent="0.25">
      <c r="B161" s="15"/>
      <c r="C161" s="24"/>
      <c r="D161" s="2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2:20" ht="15" customHeight="1" x14ac:dyDescent="0.25">
      <c r="B162" s="15"/>
      <c r="C162" s="24"/>
      <c r="D162" s="2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2:20" ht="15" customHeight="1" x14ac:dyDescent="0.25">
      <c r="B163" s="15"/>
      <c r="C163" s="24"/>
      <c r="D163" s="2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2:20" ht="15" customHeight="1" x14ac:dyDescent="0.25">
      <c r="B164" s="15"/>
      <c r="C164" s="24"/>
      <c r="D164" s="2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spans="2:20" ht="15" customHeight="1" x14ac:dyDescent="0.25">
      <c r="B165" s="15"/>
      <c r="C165" s="24"/>
      <c r="D165" s="24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2:20" ht="15" customHeight="1" x14ac:dyDescent="0.25">
      <c r="B166" s="15"/>
      <c r="C166" s="24"/>
      <c r="D166" s="24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spans="2:20" ht="15" customHeight="1" x14ac:dyDescent="0.25">
      <c r="B167" s="15"/>
      <c r="C167" s="24"/>
      <c r="D167" s="24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 spans="2:20" ht="15" customHeight="1" x14ac:dyDescent="0.25">
      <c r="B168" s="15"/>
      <c r="C168" s="24"/>
      <c r="D168" s="24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spans="2:20" ht="15" customHeight="1" x14ac:dyDescent="0.25">
      <c r="B169" s="15"/>
      <c r="C169" s="24"/>
      <c r="D169" s="24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 spans="2:20" ht="15" customHeight="1" x14ac:dyDescent="0.25">
      <c r="B170" s="15"/>
      <c r="C170" s="24"/>
      <c r="D170" s="24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spans="2:20" ht="15" customHeight="1" x14ac:dyDescent="0.25">
      <c r="B171" s="15"/>
      <c r="C171" s="24"/>
      <c r="D171" s="24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 spans="2:20" ht="15" customHeight="1" x14ac:dyDescent="0.25">
      <c r="B172" s="15"/>
      <c r="C172" s="24"/>
      <c r="D172" s="24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2:20" ht="15" customHeight="1" x14ac:dyDescent="0.25">
      <c r="B173" s="15"/>
      <c r="C173" s="24"/>
      <c r="D173" s="24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 spans="2:20" ht="15" customHeight="1" x14ac:dyDescent="0.25">
      <c r="B174" s="15"/>
      <c r="C174" s="24"/>
      <c r="D174" s="2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spans="2:20" ht="15" customHeight="1" x14ac:dyDescent="0.25">
      <c r="B175" s="15"/>
      <c r="C175" s="24"/>
      <c r="D175" s="24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 spans="2:20" ht="15" customHeight="1" x14ac:dyDescent="0.25">
      <c r="B176" s="15"/>
      <c r="C176" s="24"/>
      <c r="D176" s="24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spans="2:20" ht="15" customHeight="1" x14ac:dyDescent="0.25">
      <c r="B177" s="15"/>
      <c r="C177" s="24"/>
      <c r="D177" s="24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 spans="2:20" ht="15" customHeight="1" x14ac:dyDescent="0.25">
      <c r="B178" s="15"/>
      <c r="C178" s="24"/>
      <c r="D178" s="24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spans="2:20" x14ac:dyDescent="0.25">
      <c r="B179" s="15"/>
      <c r="C179" s="24"/>
      <c r="D179" s="24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 spans="2:20" ht="15" customHeight="1" x14ac:dyDescent="0.25">
      <c r="B180" s="15"/>
      <c r="C180" s="24"/>
      <c r="D180" s="24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spans="2:20" ht="15" customHeight="1" x14ac:dyDescent="0.25">
      <c r="B181" s="15"/>
      <c r="C181" s="24"/>
      <c r="D181" s="24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 spans="2:20" ht="15" customHeight="1" x14ac:dyDescent="0.25">
      <c r="B182" s="15"/>
      <c r="C182" s="24"/>
      <c r="D182" s="24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spans="2:20" ht="15" customHeight="1" x14ac:dyDescent="0.25">
      <c r="B183" s="15"/>
      <c r="C183" s="24"/>
      <c r="D183" s="24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2:20" ht="15" customHeight="1" x14ac:dyDescent="0.25">
      <c r="B184" s="15"/>
      <c r="C184" s="24"/>
      <c r="D184" s="24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spans="2:20" ht="15" customHeight="1" x14ac:dyDescent="0.25">
      <c r="B185" s="15"/>
      <c r="C185" s="24"/>
      <c r="D185" s="24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 spans="2:20" ht="15" customHeight="1" x14ac:dyDescent="0.25">
      <c r="B186" s="15"/>
      <c r="C186" s="24"/>
      <c r="D186" s="24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spans="2:20" ht="15" customHeight="1" x14ac:dyDescent="0.25">
      <c r="B187" s="15"/>
      <c r="C187" s="24"/>
      <c r="D187" s="24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 spans="2:20" ht="15" customHeight="1" x14ac:dyDescent="0.25">
      <c r="B188" s="15"/>
      <c r="C188" s="24"/>
      <c r="D188" s="24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spans="2:20" ht="15" customHeight="1" x14ac:dyDescent="0.25">
      <c r="B189" s="15"/>
      <c r="C189" s="24"/>
      <c r="D189" s="24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 spans="2:20" ht="15" customHeight="1" x14ac:dyDescent="0.25">
      <c r="B190" s="15"/>
      <c r="C190" s="24"/>
      <c r="D190" s="24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spans="2:20" ht="15" customHeight="1" x14ac:dyDescent="0.25">
      <c r="B191" s="15"/>
      <c r="C191" s="24"/>
      <c r="D191" s="24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 spans="2:20" ht="15" customHeight="1" x14ac:dyDescent="0.25">
      <c r="B192" s="15"/>
      <c r="C192" s="24"/>
      <c r="D192" s="24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spans="2:20" ht="15" customHeight="1" x14ac:dyDescent="0.25">
      <c r="B193" s="15"/>
      <c r="C193" s="24"/>
      <c r="D193" s="24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spans="2:20" ht="15" customHeight="1" x14ac:dyDescent="0.25">
      <c r="B194" s="15"/>
      <c r="C194" s="24"/>
      <c r="D194" s="2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spans="2:20" ht="15" customHeight="1" x14ac:dyDescent="0.25">
      <c r="B195" s="15"/>
      <c r="C195" s="24"/>
      <c r="D195" s="24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spans="2:20" ht="15" customHeight="1" x14ac:dyDescent="0.25">
      <c r="B196" s="15"/>
      <c r="C196" s="24"/>
      <c r="D196" s="24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spans="2:20" ht="15" customHeight="1" x14ac:dyDescent="0.25">
      <c r="B197" s="15"/>
      <c r="C197" s="24"/>
      <c r="D197" s="24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 spans="2:20" x14ac:dyDescent="0.25">
      <c r="B198" s="15"/>
      <c r="C198" s="24"/>
      <c r="D198" s="24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spans="2:20" ht="15" customHeight="1" x14ac:dyDescent="0.25">
      <c r="B199" s="15"/>
      <c r="C199" s="24"/>
      <c r="D199" s="24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 spans="2:20" ht="15" customHeight="1" x14ac:dyDescent="0.25">
      <c r="B200" s="15"/>
      <c r="C200" s="24"/>
      <c r="D200" s="24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spans="2:20" ht="15" customHeight="1" x14ac:dyDescent="0.25">
      <c r="B201" s="15"/>
      <c r="C201" s="24"/>
      <c r="D201" s="24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 spans="2:20" x14ac:dyDescent="0.25">
      <c r="B202" s="15"/>
      <c r="C202" s="24"/>
      <c r="D202" s="24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spans="2:20" x14ac:dyDescent="0.25">
      <c r="B203" s="15"/>
      <c r="C203" s="24"/>
      <c r="D203" s="24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 spans="2:20" x14ac:dyDescent="0.25">
      <c r="B204" s="15"/>
      <c r="C204" s="24"/>
      <c r="D204" s="24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spans="2:20" x14ac:dyDescent="0.25">
      <c r="B205" s="15"/>
      <c r="C205" s="24"/>
      <c r="D205" s="24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 spans="2:20" x14ac:dyDescent="0.25">
      <c r="B206" s="15"/>
      <c r="C206" s="24"/>
      <c r="D206" s="24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spans="2:20" x14ac:dyDescent="0.25">
      <c r="B207" s="15"/>
      <c r="C207" s="24"/>
      <c r="D207" s="24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 spans="2:20" x14ac:dyDescent="0.25">
      <c r="B208" s="15"/>
      <c r="C208" s="24"/>
      <c r="D208" s="2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spans="2:20" x14ac:dyDescent="0.25">
      <c r="B209" s="15"/>
      <c r="C209" s="24"/>
      <c r="D209" s="24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 spans="2:20" x14ac:dyDescent="0.25">
      <c r="B210" s="15"/>
      <c r="C210" s="24"/>
      <c r="D210" s="24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spans="2:20" x14ac:dyDescent="0.25">
      <c r="B211" s="15"/>
    </row>
  </sheetData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DBEF-2B72-404F-8E4B-661FF1371FB1}">
  <dimension ref="A1:F31"/>
  <sheetViews>
    <sheetView zoomScale="80" zoomScaleNormal="80" workbookViewId="0">
      <selection activeCell="B3" sqref="B3"/>
    </sheetView>
  </sheetViews>
  <sheetFormatPr defaultColWidth="9.140625" defaultRowHeight="15" x14ac:dyDescent="0.25"/>
  <cols>
    <col min="2" max="3" width="25.5703125" style="5" customWidth="1"/>
    <col min="4" max="5" width="42.85546875" style="5" customWidth="1"/>
    <col min="6" max="6" width="11.85546875" style="5" bestFit="1" customWidth="1"/>
    <col min="7" max="16384" width="9.140625" style="5"/>
  </cols>
  <sheetData>
    <row r="1" spans="1:5" customFormat="1" x14ac:dyDescent="0.25">
      <c r="C1" s="5"/>
    </row>
    <row r="2" spans="1:5" s="56" customFormat="1" x14ac:dyDescent="0.25">
      <c r="A2" s="33"/>
      <c r="B2" s="57" t="s">
        <v>449</v>
      </c>
    </row>
    <row r="3" spans="1:5" customFormat="1" x14ac:dyDescent="0.25">
      <c r="C3" s="5"/>
    </row>
    <row r="4" spans="1:5" customFormat="1" x14ac:dyDescent="0.25">
      <c r="B4" s="6" t="s">
        <v>431</v>
      </c>
    </row>
    <row r="5" spans="1:5" customFormat="1" x14ac:dyDescent="0.25"/>
    <row r="6" spans="1:5" s="2" customFormat="1" ht="30" x14ac:dyDescent="0.25">
      <c r="A6"/>
      <c r="B6" s="49" t="s">
        <v>343</v>
      </c>
      <c r="C6" s="49" t="s">
        <v>165</v>
      </c>
      <c r="D6" s="49" t="s">
        <v>362</v>
      </c>
      <c r="E6" s="49" t="s">
        <v>363</v>
      </c>
    </row>
    <row r="7" spans="1:5" s="3" customFormat="1" ht="48.75" customHeight="1" x14ac:dyDescent="0.25">
      <c r="A7"/>
      <c r="B7" s="7" t="s">
        <v>96</v>
      </c>
      <c r="C7" s="7" t="s">
        <v>164</v>
      </c>
      <c r="D7" s="43">
        <v>1023259945.08</v>
      </c>
      <c r="E7" s="54" t="s">
        <v>417</v>
      </c>
    </row>
    <row r="8" spans="1:5" s="3" customFormat="1" ht="48.75" customHeight="1" x14ac:dyDescent="0.25">
      <c r="A8"/>
      <c r="B8" s="7" t="s">
        <v>118</v>
      </c>
      <c r="C8" s="7" t="s">
        <v>117</v>
      </c>
      <c r="D8" s="54">
        <v>1368702.2520243993</v>
      </c>
      <c r="E8" s="54" t="s">
        <v>388</v>
      </c>
    </row>
    <row r="9" spans="1:5" s="3" customFormat="1" ht="48.75" customHeight="1" x14ac:dyDescent="0.25">
      <c r="A9"/>
      <c r="B9" s="7" t="s">
        <v>19</v>
      </c>
      <c r="C9" s="7" t="s">
        <v>18</v>
      </c>
      <c r="D9" s="39">
        <v>120783494</v>
      </c>
      <c r="E9" s="39" t="s">
        <v>418</v>
      </c>
    </row>
    <row r="10" spans="1:5" s="3" customFormat="1" ht="48.75" customHeight="1" x14ac:dyDescent="0.25">
      <c r="A10"/>
      <c r="B10" s="7" t="s">
        <v>75</v>
      </c>
      <c r="C10" s="7" t="s">
        <v>74</v>
      </c>
      <c r="D10" s="50" t="s">
        <v>320</v>
      </c>
      <c r="E10" s="59" t="s">
        <v>320</v>
      </c>
    </row>
    <row r="11" spans="1:5" s="3" customFormat="1" ht="48.75" customHeight="1" x14ac:dyDescent="0.25">
      <c r="A11"/>
      <c r="B11" s="7" t="s">
        <v>90</v>
      </c>
      <c r="C11" s="7" t="s">
        <v>89</v>
      </c>
      <c r="D11" s="50" t="s">
        <v>320</v>
      </c>
      <c r="E11" s="59" t="s">
        <v>320</v>
      </c>
    </row>
    <row r="12" spans="1:5" s="3" customFormat="1" ht="48.75" customHeight="1" x14ac:dyDescent="0.25">
      <c r="A12"/>
      <c r="B12" s="7" t="s">
        <v>78</v>
      </c>
      <c r="C12" s="7" t="s">
        <v>77</v>
      </c>
      <c r="D12" s="44">
        <v>147667457.00633699</v>
      </c>
      <c r="E12" s="54" t="s">
        <v>423</v>
      </c>
    </row>
    <row r="13" spans="1:5" s="3" customFormat="1" ht="48.75" customHeight="1" x14ac:dyDescent="0.25">
      <c r="A13"/>
      <c r="B13" s="7" t="s">
        <v>114</v>
      </c>
      <c r="C13" s="7" t="s">
        <v>113</v>
      </c>
      <c r="D13" s="51">
        <v>1042262.3321299639</v>
      </c>
      <c r="E13" s="54" t="s">
        <v>359</v>
      </c>
    </row>
    <row r="14" spans="1:5" s="3" customFormat="1" ht="48.75" customHeight="1" x14ac:dyDescent="0.25">
      <c r="A14"/>
      <c r="B14" s="7" t="s">
        <v>54</v>
      </c>
      <c r="C14" s="7" t="s">
        <v>53</v>
      </c>
      <c r="D14" s="39">
        <v>0</v>
      </c>
      <c r="E14" s="39">
        <v>0</v>
      </c>
    </row>
    <row r="15" spans="1:5" s="3" customFormat="1" ht="48.75" customHeight="1" x14ac:dyDescent="0.25">
      <c r="A15"/>
      <c r="B15" s="7" t="s">
        <v>12</v>
      </c>
      <c r="C15" s="7" t="s">
        <v>11</v>
      </c>
      <c r="D15" s="39">
        <v>0</v>
      </c>
      <c r="E15" s="39">
        <v>0</v>
      </c>
    </row>
    <row r="16" spans="1:5" s="3" customFormat="1" ht="48.75" customHeight="1" x14ac:dyDescent="0.25">
      <c r="A16"/>
      <c r="B16" s="7" t="s">
        <v>45</v>
      </c>
      <c r="C16" s="7" t="s">
        <v>44</v>
      </c>
      <c r="D16" s="39">
        <v>43224960</v>
      </c>
      <c r="E16" s="39" t="s">
        <v>419</v>
      </c>
    </row>
    <row r="17" spans="1:6" s="3" customFormat="1" ht="48.75" customHeight="1" x14ac:dyDescent="0.25">
      <c r="A17"/>
      <c r="B17" s="7" t="s">
        <v>40</v>
      </c>
      <c r="C17" s="7" t="s">
        <v>39</v>
      </c>
      <c r="D17" s="39">
        <v>114966288</v>
      </c>
      <c r="E17" s="39" t="s">
        <v>420</v>
      </c>
    </row>
    <row r="18" spans="1:6" s="3" customFormat="1" ht="48.75" customHeight="1" x14ac:dyDescent="0.25">
      <c r="A18"/>
      <c r="B18" s="7" t="s">
        <v>107</v>
      </c>
      <c r="C18" s="7" t="s">
        <v>106</v>
      </c>
      <c r="D18" s="50" t="s">
        <v>320</v>
      </c>
      <c r="E18" s="59" t="s">
        <v>320</v>
      </c>
    </row>
    <row r="19" spans="1:6" s="3" customFormat="1" ht="48.75" customHeight="1" x14ac:dyDescent="0.25">
      <c r="A19"/>
      <c r="B19" s="7" t="s">
        <v>49</v>
      </c>
      <c r="C19" s="7" t="s">
        <v>48</v>
      </c>
      <c r="D19" s="39">
        <v>774343.0667095551</v>
      </c>
      <c r="E19" s="54" t="s">
        <v>360</v>
      </c>
    </row>
    <row r="20" spans="1:6" s="3" customFormat="1" ht="48.75" customHeight="1" x14ac:dyDescent="0.25">
      <c r="A20"/>
      <c r="B20" s="7" t="s">
        <v>125</v>
      </c>
      <c r="C20" s="7" t="s">
        <v>124</v>
      </c>
      <c r="D20" s="39">
        <v>4399400.8107526954</v>
      </c>
      <c r="E20" s="54" t="s">
        <v>361</v>
      </c>
    </row>
    <row r="21" spans="1:6" s="3" customFormat="1" ht="48.75" customHeight="1" x14ac:dyDescent="0.25">
      <c r="A21"/>
      <c r="B21" s="7" t="s">
        <v>104</v>
      </c>
      <c r="C21" s="7" t="s">
        <v>103</v>
      </c>
      <c r="D21" s="39">
        <v>5867169</v>
      </c>
      <c r="E21" s="54" t="s">
        <v>421</v>
      </c>
    </row>
    <row r="22" spans="1:6" s="3" customFormat="1" ht="48.75" customHeight="1" x14ac:dyDescent="0.25">
      <c r="A22"/>
      <c r="B22" s="7" t="s">
        <v>24</v>
      </c>
      <c r="C22" s="7" t="s">
        <v>23</v>
      </c>
      <c r="D22" s="52" t="s">
        <v>353</v>
      </c>
      <c r="E22" s="52" t="s">
        <v>425</v>
      </c>
    </row>
    <row r="23" spans="1:6" s="3" customFormat="1" ht="48.75" customHeight="1" x14ac:dyDescent="0.25">
      <c r="A23"/>
      <c r="B23" s="7" t="s">
        <v>133</v>
      </c>
      <c r="C23" s="7" t="s">
        <v>132</v>
      </c>
      <c r="D23" s="50" t="s">
        <v>320</v>
      </c>
      <c r="E23" s="59" t="s">
        <v>320</v>
      </c>
    </row>
    <row r="24" spans="1:6" s="3" customFormat="1" ht="48.75" customHeight="1" x14ac:dyDescent="0.25">
      <c r="A24"/>
      <c r="B24" s="7" t="s">
        <v>15</v>
      </c>
      <c r="C24" s="7" t="s">
        <v>14</v>
      </c>
      <c r="D24" s="44">
        <v>154492945.37639999</v>
      </c>
      <c r="E24" s="54" t="s">
        <v>344</v>
      </c>
    </row>
    <row r="25" spans="1:6" s="3" customFormat="1" ht="48.75" customHeight="1" x14ac:dyDescent="0.25">
      <c r="A25"/>
      <c r="B25" s="7" t="s">
        <v>141</v>
      </c>
      <c r="C25" s="7" t="s">
        <v>140</v>
      </c>
      <c r="D25" s="52">
        <v>5722927.4959447486</v>
      </c>
      <c r="E25" s="52" t="s">
        <v>345</v>
      </c>
    </row>
    <row r="26" spans="1:6" s="3" customFormat="1" ht="48.75" customHeight="1" x14ac:dyDescent="0.25">
      <c r="A26"/>
      <c r="B26" s="7" t="s">
        <v>63</v>
      </c>
      <c r="C26" s="7" t="s">
        <v>62</v>
      </c>
      <c r="D26" s="50" t="s">
        <v>320</v>
      </c>
      <c r="E26" s="59" t="s">
        <v>320</v>
      </c>
      <c r="F26" s="53"/>
    </row>
    <row r="27" spans="1:6" s="3" customFormat="1" ht="48.75" customHeight="1" x14ac:dyDescent="0.25">
      <c r="A27"/>
      <c r="B27" s="7" t="s">
        <v>42</v>
      </c>
      <c r="C27" s="7" t="s">
        <v>41</v>
      </c>
      <c r="D27" s="39">
        <v>0</v>
      </c>
      <c r="E27" s="39">
        <v>0</v>
      </c>
      <c r="F27" s="53"/>
    </row>
    <row r="28" spans="1:6" s="3" customFormat="1" ht="48.75" customHeight="1" x14ac:dyDescent="0.25">
      <c r="A28"/>
      <c r="B28" s="7" t="s">
        <v>135</v>
      </c>
      <c r="C28" s="7" t="s">
        <v>134</v>
      </c>
      <c r="D28" s="39">
        <v>0</v>
      </c>
      <c r="E28" s="39">
        <v>0</v>
      </c>
    </row>
    <row r="29" spans="1:6" s="3" customFormat="1" ht="48.75" customHeight="1" x14ac:dyDescent="0.25">
      <c r="A29"/>
      <c r="B29" s="7" t="s">
        <v>86</v>
      </c>
      <c r="C29" s="7" t="s">
        <v>85</v>
      </c>
      <c r="D29" s="44">
        <v>53128374</v>
      </c>
      <c r="E29" s="54" t="s">
        <v>422</v>
      </c>
    </row>
    <row r="30" spans="1:6" s="3" customFormat="1" ht="48.75" customHeight="1" x14ac:dyDescent="0.25">
      <c r="A30"/>
      <c r="B30" s="7" t="s">
        <v>4</v>
      </c>
      <c r="C30" s="7" t="s">
        <v>3</v>
      </c>
      <c r="D30" s="44">
        <v>26153541</v>
      </c>
      <c r="E30" s="54" t="s">
        <v>424</v>
      </c>
    </row>
    <row r="31" spans="1:6" s="3" customFormat="1" ht="48.75" customHeight="1" x14ac:dyDescent="0.25">
      <c r="A31"/>
      <c r="B31" s="7" t="s">
        <v>36</v>
      </c>
      <c r="C31" s="7" t="s">
        <v>35</v>
      </c>
      <c r="D31" s="51" t="s">
        <v>354</v>
      </c>
      <c r="E31" s="54" t="s">
        <v>355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0BFB-07AD-4F0E-B2D3-769859160B78}">
  <sheetPr>
    <tabColor theme="1" tint="0.499984740745262"/>
  </sheetPr>
  <dimension ref="A1"/>
  <sheetViews>
    <sheetView showGridLines="0" workbookViewId="0">
      <selection activeCell="L30" sqref="L30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66E7-56F2-4A32-9B66-979E1789FA60}">
  <sheetPr>
    <tabColor theme="2" tint="-0.499984740745262"/>
  </sheetPr>
  <dimension ref="A1"/>
  <sheetViews>
    <sheetView showGridLines="0" workbookViewId="0">
      <selection activeCell="I24" sqref="I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School-Age Refugee Population</vt:lpstr>
      <vt:lpstr>Refugee and Host Populations</vt:lpstr>
      <vt:lpstr>Philanthropic Financing</vt:lpstr>
      <vt:lpstr>ODA for Refugee Situations</vt:lpstr>
      <vt:lpstr>Host Government Financing</vt:lpstr>
      <vt:lpstr>Sources-&gt;</vt:lpstr>
      <vt:lpstr>Background sheets-&gt;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Hopper</dc:creator>
  <cp:lastModifiedBy>Robbie Hopper</cp:lastModifiedBy>
  <cp:lastPrinted>2022-12-08T17:45:49Z</cp:lastPrinted>
  <dcterms:created xsi:type="dcterms:W3CDTF">2015-06-05T18:17:20Z</dcterms:created>
  <dcterms:modified xsi:type="dcterms:W3CDTF">2024-02-27T18:43:06Z</dcterms:modified>
</cp:coreProperties>
</file>