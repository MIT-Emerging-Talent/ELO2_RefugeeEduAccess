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rishmasilva/Documents/Refugee Costing Exercise - 2023/"/>
    </mc:Choice>
  </mc:AlternateContent>
  <xr:revisionPtr revIDLastSave="0" documentId="13_ncr:1_{9607BD68-6381-AF47-A86C-D3F4FFF288C4}" xr6:coauthVersionLast="47" xr6:coauthVersionMax="47" xr10:uidLastSave="{00000000-0000-0000-0000-000000000000}"/>
  <bookViews>
    <workbookView xWindow="32280" yWindow="2100" windowWidth="29040" windowHeight="18260" xr2:uid="{38B4EDDD-1D42-154E-94CC-B293716424BA}"/>
  </bookViews>
  <sheets>
    <sheet name="Data Dashboard" sheetId="21" r:id="rId1"/>
    <sheet name="LIC and MIC" sheetId="15" state="hidden" r:id="rId2"/>
    <sheet name="Targets" sheetId="7" state="hidden" r:id="rId3"/>
    <sheet name="Refugee GER" sheetId="16" state="hidden" r:id="rId4"/>
  </sheets>
  <externalReferences>
    <externalReference r:id="rId5"/>
    <externalReference r:id="rId6"/>
    <externalReference r:id="rId7"/>
  </externalReferences>
  <definedNames>
    <definedName name="_xlnm._FilterDatabase" localSheetId="1" hidden="1">'LIC and MIC'!$A$1:$AE$73</definedName>
    <definedName name="_xlnm._FilterDatabase" localSheetId="2" hidden="1">Targets!$B$2:$AK$76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2" i="15" l="1"/>
  <c r="AC3" i="15"/>
  <c r="AC4" i="15"/>
  <c r="AC5" i="15"/>
  <c r="AC6" i="15"/>
  <c r="AC7" i="15"/>
  <c r="AC8" i="15"/>
  <c r="AC9" i="15"/>
  <c r="AC10" i="15"/>
  <c r="AC11" i="15"/>
  <c r="AC12" i="15"/>
  <c r="AC13" i="15"/>
  <c r="AC14" i="15"/>
  <c r="AC15" i="15"/>
  <c r="AC16" i="15"/>
  <c r="AC17" i="15"/>
  <c r="AC18" i="15"/>
  <c r="AC19" i="15"/>
  <c r="AC20" i="15"/>
  <c r="AC21" i="15"/>
  <c r="AC22" i="15"/>
  <c r="AC23" i="15"/>
  <c r="AC24" i="15"/>
  <c r="AC25" i="15"/>
  <c r="AC26" i="15"/>
  <c r="AC27" i="15"/>
  <c r="AC28" i="15"/>
  <c r="AC29" i="15"/>
  <c r="AC30" i="15"/>
  <c r="AC31" i="15"/>
  <c r="AC32" i="15"/>
  <c r="AC33" i="15"/>
  <c r="AC34" i="15"/>
  <c r="AC35" i="15"/>
  <c r="AC36" i="15"/>
  <c r="AC37" i="15"/>
  <c r="AC38" i="15"/>
  <c r="AC39" i="15"/>
  <c r="AC40" i="15"/>
  <c r="AC41" i="15"/>
  <c r="AC42" i="15"/>
  <c r="AC43" i="15"/>
  <c r="AC44" i="15"/>
  <c r="AC45" i="15"/>
  <c r="AC46" i="15"/>
  <c r="AC47" i="15"/>
  <c r="AC48" i="15"/>
  <c r="AC49" i="15"/>
  <c r="AC50" i="15"/>
  <c r="AC51" i="15"/>
  <c r="AC52" i="15"/>
  <c r="AC53" i="15"/>
  <c r="AC54" i="15"/>
  <c r="AC55" i="15"/>
  <c r="AC56" i="15"/>
  <c r="AC57" i="15"/>
  <c r="AC58" i="15"/>
  <c r="AC59" i="15"/>
  <c r="AC60" i="15"/>
  <c r="AC61" i="15"/>
  <c r="AC62" i="15"/>
  <c r="AC63" i="15"/>
  <c r="AC64" i="15"/>
  <c r="AC65" i="15"/>
  <c r="AC66" i="15"/>
  <c r="AC67" i="15"/>
  <c r="AC68" i="15"/>
  <c r="AC69" i="15"/>
  <c r="AC70" i="15"/>
  <c r="AC71" i="15"/>
  <c r="AC72" i="15"/>
  <c r="AC73" i="15"/>
  <c r="Z3" i="15"/>
  <c r="Z4" i="15"/>
  <c r="Z5" i="15"/>
  <c r="Z6" i="15"/>
  <c r="Z7" i="15"/>
  <c r="Z8" i="15"/>
  <c r="Z9" i="15"/>
  <c r="Z10" i="15"/>
  <c r="Z11" i="15"/>
  <c r="Z12" i="15"/>
  <c r="Z13" i="15"/>
  <c r="Z14" i="15"/>
  <c r="Z15" i="15"/>
  <c r="Z16" i="15"/>
  <c r="Z17" i="15"/>
  <c r="Z18" i="15"/>
  <c r="Z19" i="15"/>
  <c r="Z20" i="15"/>
  <c r="Z21" i="15"/>
  <c r="Z23" i="15"/>
  <c r="Z24" i="15"/>
  <c r="Z25" i="15"/>
  <c r="Z26" i="15"/>
  <c r="Z27" i="15"/>
  <c r="Z28" i="15"/>
  <c r="Z29" i="15"/>
  <c r="Z30" i="15"/>
  <c r="Z31" i="15"/>
  <c r="Z32" i="15"/>
  <c r="Z33" i="15"/>
  <c r="Z34" i="15"/>
  <c r="Z35" i="15"/>
  <c r="Z36" i="15"/>
  <c r="Z37" i="15"/>
  <c r="Z38" i="15"/>
  <c r="Z39" i="15"/>
  <c r="Z40" i="15"/>
  <c r="Z41" i="15"/>
  <c r="Z42" i="15"/>
  <c r="Z43" i="15"/>
  <c r="Z44" i="15"/>
  <c r="Z45" i="15"/>
  <c r="Z46" i="15"/>
  <c r="Z47" i="15"/>
  <c r="Z48" i="15"/>
  <c r="Z49" i="15"/>
  <c r="Z50" i="15"/>
  <c r="Z51" i="15"/>
  <c r="Z52" i="15"/>
  <c r="Z53" i="15"/>
  <c r="Z54" i="15"/>
  <c r="Z55" i="15"/>
  <c r="Z56" i="15"/>
  <c r="Z57" i="15"/>
  <c r="Z58" i="15"/>
  <c r="Z59" i="15"/>
  <c r="Z60" i="15"/>
  <c r="Z61" i="15"/>
  <c r="Z62" i="15"/>
  <c r="Z63" i="15"/>
  <c r="Z64" i="15"/>
  <c r="Z65" i="15"/>
  <c r="Z66" i="15"/>
  <c r="Z67" i="15"/>
  <c r="Z68" i="15"/>
  <c r="Z69" i="15"/>
  <c r="Z70" i="15"/>
  <c r="Z71" i="15"/>
  <c r="Z72" i="15"/>
  <c r="Z73" i="15"/>
  <c r="W3" i="15"/>
  <c r="W4" i="15"/>
  <c r="W5" i="15"/>
  <c r="W6" i="15"/>
  <c r="W7" i="15"/>
  <c r="W8" i="15"/>
  <c r="W9" i="15"/>
  <c r="W10" i="15"/>
  <c r="W11" i="15"/>
  <c r="W12" i="15"/>
  <c r="W13" i="15"/>
  <c r="W14" i="15"/>
  <c r="W15" i="15"/>
  <c r="W16" i="15"/>
  <c r="W17" i="15"/>
  <c r="W18" i="15"/>
  <c r="W19" i="15"/>
  <c r="W20" i="15"/>
  <c r="W21" i="15"/>
  <c r="W22" i="15"/>
  <c r="W23" i="15"/>
  <c r="W24" i="15"/>
  <c r="W25" i="15"/>
  <c r="W26" i="15"/>
  <c r="W27" i="15"/>
  <c r="W28" i="15"/>
  <c r="W29" i="15"/>
  <c r="W30" i="15"/>
  <c r="W31" i="15"/>
  <c r="W32" i="15"/>
  <c r="W33" i="15"/>
  <c r="W34" i="15"/>
  <c r="W35" i="15"/>
  <c r="W36" i="15"/>
  <c r="W37" i="15"/>
  <c r="W38" i="15"/>
  <c r="W39" i="15"/>
  <c r="W40" i="15"/>
  <c r="W41" i="15"/>
  <c r="W42" i="15"/>
  <c r="W43" i="15"/>
  <c r="W44" i="15"/>
  <c r="W45" i="15"/>
  <c r="W46" i="15"/>
  <c r="W47" i="15"/>
  <c r="W48" i="15"/>
  <c r="W49" i="15"/>
  <c r="W50" i="15"/>
  <c r="W51" i="15"/>
  <c r="W52" i="15"/>
  <c r="W53" i="15"/>
  <c r="W54" i="15"/>
  <c r="W55" i="15"/>
  <c r="W56" i="15"/>
  <c r="W57" i="15"/>
  <c r="W58" i="15"/>
  <c r="W59" i="15"/>
  <c r="W60" i="15"/>
  <c r="W61" i="15"/>
  <c r="W62" i="15"/>
  <c r="W63" i="15"/>
  <c r="W64" i="15"/>
  <c r="W65" i="15"/>
  <c r="W66" i="15"/>
  <c r="W67" i="15"/>
  <c r="W68" i="15"/>
  <c r="W69" i="15"/>
  <c r="W70" i="15"/>
  <c r="W71" i="15"/>
  <c r="W72" i="15"/>
  <c r="W73" i="15"/>
  <c r="T3" i="15"/>
  <c r="T4" i="15"/>
  <c r="T5" i="15"/>
  <c r="T6" i="15"/>
  <c r="T7" i="15"/>
  <c r="T8" i="15"/>
  <c r="T9" i="15"/>
  <c r="T10" i="15"/>
  <c r="T11" i="15"/>
  <c r="T12" i="15"/>
  <c r="T13" i="15"/>
  <c r="T14" i="15"/>
  <c r="T15" i="15"/>
  <c r="T16" i="15"/>
  <c r="T17" i="15"/>
  <c r="T18" i="15"/>
  <c r="T19" i="15"/>
  <c r="T20" i="15"/>
  <c r="T21" i="15"/>
  <c r="T22" i="15"/>
  <c r="T23" i="15"/>
  <c r="T24" i="15"/>
  <c r="T25" i="15"/>
  <c r="T26" i="15"/>
  <c r="T27" i="15"/>
  <c r="T28" i="15"/>
  <c r="T29" i="15"/>
  <c r="T30" i="15"/>
  <c r="T31" i="15"/>
  <c r="T32" i="15"/>
  <c r="T33" i="15"/>
  <c r="T34" i="15"/>
  <c r="T35" i="15"/>
  <c r="T36" i="15"/>
  <c r="T37" i="15"/>
  <c r="T38" i="15"/>
  <c r="T39" i="15"/>
  <c r="T40" i="15"/>
  <c r="T41" i="15"/>
  <c r="T42" i="15"/>
  <c r="T43" i="15"/>
  <c r="T44" i="15"/>
  <c r="T45" i="15"/>
  <c r="T46" i="15"/>
  <c r="T47" i="15"/>
  <c r="T48" i="15"/>
  <c r="T49" i="15"/>
  <c r="T50" i="15"/>
  <c r="T51" i="15"/>
  <c r="T52" i="15"/>
  <c r="T53" i="15"/>
  <c r="T54" i="15"/>
  <c r="T55" i="15"/>
  <c r="T56" i="15"/>
  <c r="T57" i="15"/>
  <c r="T58" i="15"/>
  <c r="T59" i="15"/>
  <c r="T60" i="15"/>
  <c r="T61" i="15"/>
  <c r="T62" i="15"/>
  <c r="T63" i="15"/>
  <c r="T64" i="15"/>
  <c r="T65" i="15"/>
  <c r="T66" i="15"/>
  <c r="T67" i="15"/>
  <c r="T68" i="15"/>
  <c r="T69" i="15"/>
  <c r="T70" i="15"/>
  <c r="T71" i="15"/>
  <c r="T72" i="15"/>
  <c r="T73" i="15"/>
  <c r="AB73" i="15"/>
  <c r="AA73" i="15"/>
  <c r="AB72" i="15"/>
  <c r="AA72" i="15"/>
  <c r="AB71" i="15"/>
  <c r="AA71" i="15"/>
  <c r="AB70" i="15"/>
  <c r="AA70" i="15"/>
  <c r="AB69" i="15"/>
  <c r="AA69" i="15"/>
  <c r="AB68" i="15"/>
  <c r="AA68" i="15"/>
  <c r="AB67" i="15"/>
  <c r="AA67" i="15"/>
  <c r="AB66" i="15"/>
  <c r="AA66" i="15"/>
  <c r="AB65" i="15"/>
  <c r="AA65" i="15"/>
  <c r="AB64" i="15"/>
  <c r="AA64" i="15"/>
  <c r="AB63" i="15"/>
  <c r="AA63" i="15"/>
  <c r="AB62" i="15"/>
  <c r="AA62" i="15"/>
  <c r="AB61" i="15"/>
  <c r="AA61" i="15"/>
  <c r="AB60" i="15"/>
  <c r="AA60" i="15"/>
  <c r="AB59" i="15"/>
  <c r="AA59" i="15"/>
  <c r="AB58" i="15"/>
  <c r="AA58" i="15"/>
  <c r="AB57" i="15"/>
  <c r="AA57" i="15"/>
  <c r="AB56" i="15"/>
  <c r="AA56" i="15"/>
  <c r="AB55" i="15"/>
  <c r="AA55" i="15"/>
  <c r="AB54" i="15"/>
  <c r="AA54" i="15"/>
  <c r="AB53" i="15"/>
  <c r="AA53" i="15"/>
  <c r="AB52" i="15"/>
  <c r="AA52" i="15"/>
  <c r="AB51" i="15"/>
  <c r="AA51" i="15"/>
  <c r="AB50" i="15"/>
  <c r="AA50" i="15"/>
  <c r="AB49" i="15"/>
  <c r="AA49" i="15"/>
  <c r="AB48" i="15"/>
  <c r="AA48" i="15"/>
  <c r="AB47" i="15"/>
  <c r="AA47" i="15"/>
  <c r="AB46" i="15"/>
  <c r="AA46" i="15"/>
  <c r="AB45" i="15"/>
  <c r="AA45" i="15"/>
  <c r="AB44" i="15"/>
  <c r="AA44" i="15"/>
  <c r="AB43" i="15"/>
  <c r="AA43" i="15"/>
  <c r="AB42" i="15"/>
  <c r="AA42" i="15"/>
  <c r="AB41" i="15"/>
  <c r="AA41" i="15"/>
  <c r="AB40" i="15"/>
  <c r="AA40" i="15"/>
  <c r="AB39" i="15"/>
  <c r="AA39" i="15"/>
  <c r="AB38" i="15"/>
  <c r="AA38" i="15"/>
  <c r="AB37" i="15"/>
  <c r="AA37" i="15"/>
  <c r="AB36" i="15"/>
  <c r="AA36" i="15"/>
  <c r="AB35" i="15"/>
  <c r="AA35" i="15"/>
  <c r="AB34" i="15"/>
  <c r="AA34" i="15"/>
  <c r="AB33" i="15"/>
  <c r="AA33" i="15"/>
  <c r="AB32" i="15"/>
  <c r="AA32" i="15"/>
  <c r="AB31" i="15"/>
  <c r="AA31" i="15"/>
  <c r="AB30" i="15"/>
  <c r="AA30" i="15"/>
  <c r="AB29" i="15"/>
  <c r="AA29" i="15"/>
  <c r="AB28" i="15"/>
  <c r="AA28" i="15"/>
  <c r="AB27" i="15"/>
  <c r="AA27" i="15"/>
  <c r="AB26" i="15"/>
  <c r="AA26" i="15"/>
  <c r="AB25" i="15"/>
  <c r="AA25" i="15"/>
  <c r="AB24" i="15"/>
  <c r="AA24" i="15"/>
  <c r="AB23" i="15"/>
  <c r="AA23" i="15"/>
  <c r="AB22" i="15"/>
  <c r="AA22" i="15"/>
  <c r="AB21" i="15"/>
  <c r="AA21" i="15"/>
  <c r="AB20" i="15"/>
  <c r="AA20" i="15"/>
  <c r="AB19" i="15"/>
  <c r="AA19" i="15"/>
  <c r="AB18" i="15"/>
  <c r="AA18" i="15"/>
  <c r="AB17" i="15"/>
  <c r="AA17" i="15"/>
  <c r="AB16" i="15"/>
  <c r="AA16" i="15"/>
  <c r="AB15" i="15"/>
  <c r="AA15" i="15"/>
  <c r="AB14" i="15"/>
  <c r="AA14" i="15"/>
  <c r="AB13" i="15"/>
  <c r="AA13" i="15"/>
  <c r="AB12" i="15"/>
  <c r="AA12" i="15"/>
  <c r="AB11" i="15"/>
  <c r="AA11" i="15"/>
  <c r="AB10" i="15"/>
  <c r="AA10" i="15"/>
  <c r="AB9" i="15"/>
  <c r="AA9" i="15"/>
  <c r="AB8" i="15"/>
  <c r="AA8" i="15"/>
  <c r="AB7" i="15"/>
  <c r="AA7" i="15"/>
  <c r="AB6" i="15"/>
  <c r="AA6" i="15"/>
  <c r="AB5" i="15"/>
  <c r="AA5" i="15"/>
  <c r="AB4" i="15"/>
  <c r="AA4" i="15"/>
  <c r="AB3" i="15"/>
  <c r="AA3" i="15"/>
  <c r="AB2" i="15"/>
  <c r="AA2" i="15"/>
  <c r="T2" i="15"/>
  <c r="W2" i="15" s="1"/>
  <c r="Z2" i="15" s="1"/>
  <c r="C32" i="21"/>
  <c r="C15" i="21"/>
  <c r="AC2" i="15" l="1"/>
  <c r="N13" i="16"/>
  <c r="N12" i="16"/>
  <c r="N11" i="16"/>
  <c r="M13" i="16"/>
  <c r="M12" i="16"/>
  <c r="M11" i="16"/>
  <c r="L13" i="16"/>
  <c r="L12" i="16"/>
  <c r="L11" i="16"/>
  <c r="C33" i="21" l="1"/>
  <c r="I15" i="21" s="1"/>
  <c r="I14" i="21"/>
  <c r="C29" i="21"/>
  <c r="C28" i="21"/>
  <c r="C27" i="21"/>
  <c r="C26" i="21"/>
  <c r="C23" i="21"/>
  <c r="C22" i="21"/>
  <c r="C21" i="21"/>
  <c r="C20" i="21"/>
  <c r="I8" i="21"/>
  <c r="C14" i="21"/>
  <c r="C16" i="21" s="1"/>
  <c r="C11" i="21"/>
  <c r="C10" i="21"/>
  <c r="C9" i="21"/>
  <c r="C6" i="21"/>
  <c r="C5" i="21"/>
  <c r="Q11" i="7"/>
  <c r="R11" i="7"/>
  <c r="S11" i="7"/>
  <c r="Q29" i="7"/>
  <c r="R29" i="7"/>
  <c r="S29" i="7"/>
  <c r="Q36" i="7"/>
  <c r="R36" i="7"/>
  <c r="S36" i="7"/>
  <c r="Q50" i="7"/>
  <c r="R50" i="7"/>
  <c r="S50" i="7"/>
  <c r="Q52" i="7"/>
  <c r="R52" i="7"/>
  <c r="S52" i="7"/>
  <c r="Q56" i="7"/>
  <c r="R56" i="7"/>
  <c r="S56" i="7"/>
  <c r="Q58" i="7"/>
  <c r="R58" i="7"/>
  <c r="S58" i="7"/>
  <c r="Q60" i="7"/>
  <c r="R60" i="7"/>
  <c r="S60" i="7"/>
  <c r="AF71" i="15"/>
  <c r="AF70" i="15"/>
  <c r="AE30" i="15"/>
  <c r="AF30" i="15" s="1"/>
  <c r="AE67" i="15"/>
  <c r="AE48" i="15"/>
  <c r="AE17" i="15"/>
  <c r="AE51" i="15"/>
  <c r="AE60" i="15"/>
  <c r="AE53" i="15"/>
  <c r="AE25" i="15"/>
  <c r="AE7" i="15"/>
  <c r="AE34" i="15"/>
  <c r="AE32" i="15"/>
  <c r="AE20" i="15"/>
  <c r="AF20" i="15" s="1"/>
  <c r="AE33" i="15"/>
  <c r="AE16" i="15"/>
  <c r="AE14" i="15"/>
  <c r="AE10" i="15"/>
  <c r="AE46" i="15"/>
  <c r="AE31" i="15"/>
  <c r="AE68" i="15"/>
  <c r="AF68" i="15" s="1"/>
  <c r="AE24" i="15"/>
  <c r="AF24" i="15" s="1"/>
  <c r="AE28" i="15"/>
  <c r="AE40" i="15"/>
  <c r="AE23" i="15"/>
  <c r="AE11" i="15"/>
  <c r="AE39" i="15"/>
  <c r="AE54" i="15"/>
  <c r="AE37" i="15"/>
  <c r="AE22" i="15"/>
  <c r="AE47" i="15"/>
  <c r="AE13" i="15"/>
  <c r="AE52" i="15"/>
  <c r="AF52" i="15" s="1"/>
  <c r="AE3" i="15"/>
  <c r="AE63" i="15"/>
  <c r="AE38" i="15"/>
  <c r="AE4" i="15"/>
  <c r="AE72" i="15"/>
  <c r="AE58" i="15"/>
  <c r="AE36" i="15"/>
  <c r="AE18" i="15"/>
  <c r="AF18" i="15" s="1"/>
  <c r="AE19" i="15"/>
  <c r="AE2" i="15"/>
  <c r="AE12" i="15"/>
  <c r="AE35" i="15"/>
  <c r="AE6" i="15"/>
  <c r="AE57" i="15"/>
  <c r="AE41" i="15"/>
  <c r="AE21" i="15"/>
  <c r="AE43" i="15"/>
  <c r="AE5" i="15"/>
  <c r="AE56" i="15"/>
  <c r="AE73" i="15"/>
  <c r="AE8" i="15"/>
  <c r="AE61" i="15"/>
  <c r="AE26" i="15"/>
  <c r="AE55" i="15"/>
  <c r="AE9" i="15"/>
  <c r="AF9" i="15" s="1"/>
  <c r="AE15" i="15"/>
  <c r="AE42" i="15"/>
  <c r="AE49" i="15"/>
  <c r="AE64" i="15"/>
  <c r="AE69" i="15"/>
  <c r="AE62" i="15"/>
  <c r="AE27" i="15"/>
  <c r="AE65" i="15"/>
  <c r="AE44" i="15"/>
  <c r="AE29" i="15"/>
  <c r="AE45" i="15"/>
  <c r="AE50" i="15"/>
  <c r="AE66" i="15"/>
  <c r="AF66" i="15" s="1"/>
  <c r="AD67" i="15"/>
  <c r="AD48" i="15"/>
  <c r="AD17" i="15"/>
  <c r="AD51" i="15"/>
  <c r="AD60" i="15"/>
  <c r="AD53" i="15"/>
  <c r="AD25" i="15"/>
  <c r="AD7" i="15"/>
  <c r="AD32" i="15"/>
  <c r="AD33" i="15"/>
  <c r="AD16" i="15"/>
  <c r="AD14" i="15"/>
  <c r="AD10" i="15"/>
  <c r="AD46" i="15"/>
  <c r="AD59" i="15"/>
  <c r="AF59" i="15" s="1"/>
  <c r="AD28" i="15"/>
  <c r="AF28" i="15" s="1"/>
  <c r="AD40" i="15"/>
  <c r="AF40" i="15" s="1"/>
  <c r="AD23" i="15"/>
  <c r="AF23" i="15" s="1"/>
  <c r="AD11" i="15"/>
  <c r="AF11" i="15" s="1"/>
  <c r="AD39" i="15"/>
  <c r="AF39" i="15" s="1"/>
  <c r="AD54" i="15"/>
  <c r="AF54" i="15" s="1"/>
  <c r="AD37" i="15"/>
  <c r="AD22" i="15"/>
  <c r="AF22" i="15" s="1"/>
  <c r="AD13" i="15"/>
  <c r="AD3" i="15"/>
  <c r="AD63" i="15"/>
  <c r="AD38" i="15"/>
  <c r="AD4" i="15"/>
  <c r="AD72" i="15"/>
  <c r="AD58" i="15"/>
  <c r="AD36" i="15"/>
  <c r="AD19" i="15"/>
  <c r="AD2" i="15"/>
  <c r="AD12" i="15"/>
  <c r="AD6" i="15"/>
  <c r="AF6" i="15" s="1"/>
  <c r="AD57" i="15"/>
  <c r="AD21" i="15"/>
  <c r="AD43" i="15"/>
  <c r="AD5" i="15"/>
  <c r="AD56" i="15"/>
  <c r="AF56" i="15" s="1"/>
  <c r="AD73" i="15"/>
  <c r="AD8" i="15"/>
  <c r="AD61" i="15"/>
  <c r="AD26" i="15"/>
  <c r="AD55" i="15"/>
  <c r="AD15" i="15"/>
  <c r="AD42" i="15"/>
  <c r="AD49" i="15"/>
  <c r="AD64" i="15"/>
  <c r="AD69" i="15"/>
  <c r="AD62" i="15"/>
  <c r="AF62" i="15" s="1"/>
  <c r="AD27" i="15"/>
  <c r="AD65" i="15"/>
  <c r="AD44" i="15"/>
  <c r="AD29" i="15"/>
  <c r="AD45" i="15"/>
  <c r="AD50" i="15"/>
  <c r="AF29" i="15" l="1"/>
  <c r="AF42" i="15"/>
  <c r="AF48" i="15"/>
  <c r="AF58" i="15"/>
  <c r="AF33" i="15"/>
  <c r="AF7" i="15"/>
  <c r="AF36" i="15"/>
  <c r="AF16" i="15"/>
  <c r="AF37" i="15"/>
  <c r="AF51" i="15"/>
  <c r="AF32" i="15"/>
  <c r="AF44" i="15"/>
  <c r="AF15" i="15"/>
  <c r="AF46" i="15"/>
  <c r="AF5" i="15"/>
  <c r="AF17" i="15"/>
  <c r="AF63" i="15"/>
  <c r="AF2" i="15"/>
  <c r="AF53" i="15"/>
  <c r="AF65" i="15"/>
  <c r="AF55" i="15"/>
  <c r="AF21" i="15"/>
  <c r="AF72" i="15"/>
  <c r="AF10" i="15"/>
  <c r="AF60" i="15"/>
  <c r="AF25" i="15"/>
  <c r="AF43" i="15"/>
  <c r="AF27" i="15"/>
  <c r="AF26" i="15"/>
  <c r="AF4" i="15"/>
  <c r="AF14" i="15"/>
  <c r="AF3" i="15"/>
  <c r="AF45" i="15"/>
  <c r="AF49" i="15"/>
  <c r="AF19" i="15"/>
  <c r="AF13" i="15"/>
  <c r="I20" i="21"/>
  <c r="I13" i="21"/>
  <c r="I9" i="21"/>
  <c r="I21" i="21" s="1"/>
  <c r="I6" i="21"/>
  <c r="I7" i="21"/>
  <c r="I19" i="21" s="1"/>
  <c r="C12" i="21"/>
  <c r="AF50" i="15"/>
  <c r="AF64" i="15"/>
  <c r="AF73" i="15"/>
  <c r="AF67" i="15"/>
  <c r="AF57" i="15"/>
  <c r="AF61" i="15"/>
  <c r="AF38" i="15"/>
  <c r="AF69" i="15"/>
  <c r="AF8" i="15"/>
  <c r="AF12" i="15"/>
  <c r="G3" i="16"/>
  <c r="S5" i="7" s="1"/>
  <c r="G4" i="16"/>
  <c r="S6" i="7" s="1"/>
  <c r="G5" i="16"/>
  <c r="S7" i="7" s="1"/>
  <c r="G6" i="16"/>
  <c r="S8" i="7" s="1"/>
  <c r="G7" i="16"/>
  <c r="S9" i="7" s="1"/>
  <c r="G8" i="16"/>
  <c r="S10" i="7" s="1"/>
  <c r="G10" i="16"/>
  <c r="S12" i="7" s="1"/>
  <c r="G11" i="16"/>
  <c r="S13" i="7" s="1"/>
  <c r="G12" i="16"/>
  <c r="S14" i="7" s="1"/>
  <c r="G13" i="16"/>
  <c r="S15" i="7" s="1"/>
  <c r="G14" i="16"/>
  <c r="S16" i="7" s="1"/>
  <c r="G15" i="16"/>
  <c r="S17" i="7" s="1"/>
  <c r="G16" i="16"/>
  <c r="S18" i="7" s="1"/>
  <c r="G17" i="16"/>
  <c r="S19" i="7" s="1"/>
  <c r="G18" i="16"/>
  <c r="S20" i="7" s="1"/>
  <c r="G19" i="16"/>
  <c r="S21" i="7" s="1"/>
  <c r="G20" i="16"/>
  <c r="S22" i="7" s="1"/>
  <c r="G21" i="16"/>
  <c r="S23" i="7" s="1"/>
  <c r="G22" i="16"/>
  <c r="S24" i="7" s="1"/>
  <c r="G23" i="16"/>
  <c r="S25" i="7" s="1"/>
  <c r="G24" i="16"/>
  <c r="S26" i="7" s="1"/>
  <c r="G25" i="16"/>
  <c r="S27" i="7" s="1"/>
  <c r="G26" i="16"/>
  <c r="S28" i="7" s="1"/>
  <c r="G28" i="16"/>
  <c r="S30" i="7" s="1"/>
  <c r="G29" i="16"/>
  <c r="S31" i="7" s="1"/>
  <c r="G30" i="16"/>
  <c r="S32" i="7" s="1"/>
  <c r="G31" i="16"/>
  <c r="S33" i="7" s="1"/>
  <c r="G32" i="16"/>
  <c r="S34" i="7" s="1"/>
  <c r="G33" i="16"/>
  <c r="S35" i="7" s="1"/>
  <c r="G35" i="16"/>
  <c r="S37" i="7" s="1"/>
  <c r="G36" i="16"/>
  <c r="S38" i="7" s="1"/>
  <c r="G37" i="16"/>
  <c r="S39" i="7" s="1"/>
  <c r="G38" i="16"/>
  <c r="S40" i="7" s="1"/>
  <c r="G39" i="16"/>
  <c r="S41" i="7" s="1"/>
  <c r="G40" i="16"/>
  <c r="S42" i="7" s="1"/>
  <c r="G41" i="16"/>
  <c r="S43" i="7" s="1"/>
  <c r="G42" i="16"/>
  <c r="S44" i="7" s="1"/>
  <c r="G43" i="16"/>
  <c r="S45" i="7" s="1"/>
  <c r="G44" i="16"/>
  <c r="S46" i="7" s="1"/>
  <c r="G45" i="16"/>
  <c r="S47" i="7" s="1"/>
  <c r="G46" i="16"/>
  <c r="S48" i="7" s="1"/>
  <c r="G47" i="16"/>
  <c r="S49" i="7" s="1"/>
  <c r="G49" i="16"/>
  <c r="S51" i="7" s="1"/>
  <c r="G51" i="16"/>
  <c r="S53" i="7" s="1"/>
  <c r="G52" i="16"/>
  <c r="S54" i="7" s="1"/>
  <c r="G53" i="16"/>
  <c r="S55" i="7" s="1"/>
  <c r="G55" i="16"/>
  <c r="S57" i="7" s="1"/>
  <c r="G57" i="16"/>
  <c r="S59" i="7" s="1"/>
  <c r="G59" i="16"/>
  <c r="S61" i="7" s="1"/>
  <c r="G60" i="16"/>
  <c r="S62" i="7" s="1"/>
  <c r="G61" i="16"/>
  <c r="S63" i="7" s="1"/>
  <c r="G62" i="16"/>
  <c r="S64" i="7" s="1"/>
  <c r="G63" i="16"/>
  <c r="S65" i="7" s="1"/>
  <c r="G64" i="16"/>
  <c r="S66" i="7" s="1"/>
  <c r="G65" i="16"/>
  <c r="S67" i="7" s="1"/>
  <c r="G66" i="16"/>
  <c r="S68" i="7" s="1"/>
  <c r="G67" i="16"/>
  <c r="S69" i="7" s="1"/>
  <c r="G68" i="16"/>
  <c r="S70" i="7" s="1"/>
  <c r="G69" i="16"/>
  <c r="S71" i="7" s="1"/>
  <c r="G70" i="16"/>
  <c r="S72" i="7" s="1"/>
  <c r="G71" i="16"/>
  <c r="S73" i="7" s="1"/>
  <c r="G72" i="16"/>
  <c r="S74" i="7" s="1"/>
  <c r="G73" i="16"/>
  <c r="S75" i="7" s="1"/>
  <c r="G2" i="16"/>
  <c r="S4" i="7" s="1"/>
  <c r="F3" i="16"/>
  <c r="R5" i="7" s="1"/>
  <c r="F4" i="16"/>
  <c r="R6" i="7" s="1"/>
  <c r="F5" i="16"/>
  <c r="R7" i="7" s="1"/>
  <c r="F6" i="16"/>
  <c r="R8" i="7" s="1"/>
  <c r="F7" i="16"/>
  <c r="R9" i="7" s="1"/>
  <c r="F8" i="16"/>
  <c r="R10" i="7" s="1"/>
  <c r="F10" i="16"/>
  <c r="R12" i="7" s="1"/>
  <c r="F11" i="16"/>
  <c r="R13" i="7" s="1"/>
  <c r="F12" i="16"/>
  <c r="R14" i="7" s="1"/>
  <c r="F13" i="16"/>
  <c r="R15" i="7" s="1"/>
  <c r="F14" i="16"/>
  <c r="R16" i="7" s="1"/>
  <c r="F15" i="16"/>
  <c r="R17" i="7" s="1"/>
  <c r="F16" i="16"/>
  <c r="R18" i="7" s="1"/>
  <c r="F17" i="16"/>
  <c r="R19" i="7" s="1"/>
  <c r="F18" i="16"/>
  <c r="R20" i="7" s="1"/>
  <c r="F19" i="16"/>
  <c r="R21" i="7" s="1"/>
  <c r="F20" i="16"/>
  <c r="R22" i="7" s="1"/>
  <c r="F21" i="16"/>
  <c r="R23" i="7" s="1"/>
  <c r="F22" i="16"/>
  <c r="R24" i="7" s="1"/>
  <c r="F23" i="16"/>
  <c r="R25" i="7" s="1"/>
  <c r="F24" i="16"/>
  <c r="R26" i="7" s="1"/>
  <c r="F25" i="16"/>
  <c r="R27" i="7" s="1"/>
  <c r="F26" i="16"/>
  <c r="R28" i="7" s="1"/>
  <c r="F28" i="16"/>
  <c r="R30" i="7" s="1"/>
  <c r="F29" i="16"/>
  <c r="R31" i="7" s="1"/>
  <c r="F30" i="16"/>
  <c r="R32" i="7" s="1"/>
  <c r="F31" i="16"/>
  <c r="R33" i="7" s="1"/>
  <c r="F32" i="16"/>
  <c r="R34" i="7" s="1"/>
  <c r="F33" i="16"/>
  <c r="R35" i="7" s="1"/>
  <c r="F35" i="16"/>
  <c r="R37" i="7" s="1"/>
  <c r="F36" i="16"/>
  <c r="R38" i="7" s="1"/>
  <c r="F37" i="16"/>
  <c r="R39" i="7" s="1"/>
  <c r="F38" i="16"/>
  <c r="R40" i="7" s="1"/>
  <c r="F39" i="16"/>
  <c r="R41" i="7" s="1"/>
  <c r="F40" i="16"/>
  <c r="R42" i="7" s="1"/>
  <c r="F41" i="16"/>
  <c r="R43" i="7" s="1"/>
  <c r="F42" i="16"/>
  <c r="R44" i="7" s="1"/>
  <c r="F43" i="16"/>
  <c r="R45" i="7" s="1"/>
  <c r="F44" i="16"/>
  <c r="R46" i="7" s="1"/>
  <c r="F45" i="16"/>
  <c r="R47" i="7" s="1"/>
  <c r="F46" i="16"/>
  <c r="R48" i="7" s="1"/>
  <c r="F47" i="16"/>
  <c r="R49" i="7" s="1"/>
  <c r="F49" i="16"/>
  <c r="R51" i="7" s="1"/>
  <c r="F51" i="16"/>
  <c r="R53" i="7" s="1"/>
  <c r="F52" i="16"/>
  <c r="R54" i="7" s="1"/>
  <c r="F53" i="16"/>
  <c r="R55" i="7" s="1"/>
  <c r="F55" i="16"/>
  <c r="R57" i="7" s="1"/>
  <c r="F57" i="16"/>
  <c r="R59" i="7" s="1"/>
  <c r="F59" i="16"/>
  <c r="R61" i="7" s="1"/>
  <c r="F60" i="16"/>
  <c r="R62" i="7" s="1"/>
  <c r="F61" i="16"/>
  <c r="R63" i="7" s="1"/>
  <c r="F62" i="16"/>
  <c r="R64" i="7" s="1"/>
  <c r="F63" i="16"/>
  <c r="R65" i="7" s="1"/>
  <c r="F64" i="16"/>
  <c r="R66" i="7" s="1"/>
  <c r="F65" i="16"/>
  <c r="R67" i="7" s="1"/>
  <c r="F66" i="16"/>
  <c r="R68" i="7" s="1"/>
  <c r="F67" i="16"/>
  <c r="R69" i="7" s="1"/>
  <c r="F68" i="16"/>
  <c r="R70" i="7" s="1"/>
  <c r="F69" i="16"/>
  <c r="R71" i="7" s="1"/>
  <c r="F70" i="16"/>
  <c r="R72" i="7" s="1"/>
  <c r="F71" i="16"/>
  <c r="R73" i="7" s="1"/>
  <c r="F72" i="16"/>
  <c r="R74" i="7" s="1"/>
  <c r="F73" i="16"/>
  <c r="R75" i="7" s="1"/>
  <c r="F2" i="16"/>
  <c r="R4" i="7" s="1"/>
  <c r="E3" i="16"/>
  <c r="Q5" i="7" s="1"/>
  <c r="E4" i="16"/>
  <c r="Q6" i="7" s="1"/>
  <c r="E5" i="16"/>
  <c r="Q7" i="7" s="1"/>
  <c r="E6" i="16"/>
  <c r="Q8" i="7" s="1"/>
  <c r="E7" i="16"/>
  <c r="Q9" i="7" s="1"/>
  <c r="E8" i="16"/>
  <c r="Q10" i="7" s="1"/>
  <c r="E10" i="16"/>
  <c r="Q12" i="7" s="1"/>
  <c r="E11" i="16"/>
  <c r="Q13" i="7" s="1"/>
  <c r="E12" i="16"/>
  <c r="Q14" i="7" s="1"/>
  <c r="E13" i="16"/>
  <c r="Q15" i="7" s="1"/>
  <c r="E14" i="16"/>
  <c r="Q16" i="7" s="1"/>
  <c r="E15" i="16"/>
  <c r="Q17" i="7" s="1"/>
  <c r="E16" i="16"/>
  <c r="Q18" i="7" s="1"/>
  <c r="E17" i="16"/>
  <c r="Q19" i="7" s="1"/>
  <c r="E18" i="16"/>
  <c r="Q20" i="7" s="1"/>
  <c r="E19" i="16"/>
  <c r="Q21" i="7" s="1"/>
  <c r="E20" i="16"/>
  <c r="Q22" i="7" s="1"/>
  <c r="E21" i="16"/>
  <c r="Q23" i="7" s="1"/>
  <c r="E22" i="16"/>
  <c r="Q24" i="7" s="1"/>
  <c r="E23" i="16"/>
  <c r="Q25" i="7" s="1"/>
  <c r="E24" i="16"/>
  <c r="Q26" i="7" s="1"/>
  <c r="E25" i="16"/>
  <c r="Q27" i="7" s="1"/>
  <c r="E26" i="16"/>
  <c r="Q28" i="7" s="1"/>
  <c r="E28" i="16"/>
  <c r="Q30" i="7" s="1"/>
  <c r="E29" i="16"/>
  <c r="Q31" i="7" s="1"/>
  <c r="E30" i="16"/>
  <c r="Q32" i="7" s="1"/>
  <c r="E31" i="16"/>
  <c r="Q33" i="7" s="1"/>
  <c r="E32" i="16"/>
  <c r="Q34" i="7" s="1"/>
  <c r="E33" i="16"/>
  <c r="Q35" i="7" s="1"/>
  <c r="E35" i="16"/>
  <c r="Q37" i="7" s="1"/>
  <c r="E36" i="16"/>
  <c r="Q38" i="7" s="1"/>
  <c r="E37" i="16"/>
  <c r="Q39" i="7" s="1"/>
  <c r="E38" i="16"/>
  <c r="Q40" i="7" s="1"/>
  <c r="E39" i="16"/>
  <c r="Q41" i="7" s="1"/>
  <c r="E40" i="16"/>
  <c r="Q42" i="7" s="1"/>
  <c r="E41" i="16"/>
  <c r="Q43" i="7" s="1"/>
  <c r="E42" i="16"/>
  <c r="Q44" i="7" s="1"/>
  <c r="E43" i="16"/>
  <c r="Q45" i="7" s="1"/>
  <c r="E44" i="16"/>
  <c r="Q46" i="7" s="1"/>
  <c r="E45" i="16"/>
  <c r="Q47" i="7" s="1"/>
  <c r="E46" i="16"/>
  <c r="Q48" i="7" s="1"/>
  <c r="E47" i="16"/>
  <c r="Q49" i="7" s="1"/>
  <c r="E49" i="16"/>
  <c r="Q51" i="7" s="1"/>
  <c r="E51" i="16"/>
  <c r="Q53" i="7" s="1"/>
  <c r="E52" i="16"/>
  <c r="Q54" i="7" s="1"/>
  <c r="E53" i="16"/>
  <c r="Q55" i="7" s="1"/>
  <c r="E55" i="16"/>
  <c r="Q57" i="7" s="1"/>
  <c r="E57" i="16"/>
  <c r="Q59" i="7" s="1"/>
  <c r="E59" i="16"/>
  <c r="Q61" i="7" s="1"/>
  <c r="E60" i="16"/>
  <c r="Q62" i="7" s="1"/>
  <c r="E61" i="16"/>
  <c r="Q63" i="7" s="1"/>
  <c r="E62" i="16"/>
  <c r="Q64" i="7" s="1"/>
  <c r="E63" i="16"/>
  <c r="Q65" i="7" s="1"/>
  <c r="E64" i="16"/>
  <c r="Q66" i="7" s="1"/>
  <c r="E65" i="16"/>
  <c r="Q67" i="7" s="1"/>
  <c r="E66" i="16"/>
  <c r="Q68" i="7" s="1"/>
  <c r="E67" i="16"/>
  <c r="Q69" i="7" s="1"/>
  <c r="E68" i="16"/>
  <c r="Q70" i="7" s="1"/>
  <c r="E69" i="16"/>
  <c r="Q71" i="7" s="1"/>
  <c r="E70" i="16"/>
  <c r="Q72" i="7" s="1"/>
  <c r="E71" i="16"/>
  <c r="Q73" i="7" s="1"/>
  <c r="E72" i="16"/>
  <c r="Q74" i="7" s="1"/>
  <c r="E73" i="16"/>
  <c r="Q75" i="7" s="1"/>
  <c r="E2" i="16"/>
  <c r="Q4" i="7" s="1"/>
  <c r="AB4" i="7"/>
  <c r="AG4" i="7" s="1"/>
  <c r="F76" i="7"/>
  <c r="G76" i="7"/>
  <c r="H76" i="7"/>
  <c r="I76" i="7"/>
  <c r="E76" i="7"/>
  <c r="AB5" i="7"/>
  <c r="AC5" i="7"/>
  <c r="AH5" i="7" s="1"/>
  <c r="AD5" i="7"/>
  <c r="AI5" i="7" s="1"/>
  <c r="AE5" i="7"/>
  <c r="AJ5" i="7" s="1"/>
  <c r="AB6" i="7"/>
  <c r="AG6" i="7" s="1"/>
  <c r="AC6" i="7"/>
  <c r="AH6" i="7" s="1"/>
  <c r="AD6" i="7"/>
  <c r="AI6" i="7" s="1"/>
  <c r="AE6" i="7"/>
  <c r="AJ6" i="7" s="1"/>
  <c r="AB7" i="7"/>
  <c r="AC7" i="7"/>
  <c r="AH7" i="7" s="1"/>
  <c r="AD7" i="7"/>
  <c r="AI7" i="7" s="1"/>
  <c r="AE7" i="7"/>
  <c r="AJ7" i="7" s="1"/>
  <c r="AB8" i="7"/>
  <c r="AC8" i="7"/>
  <c r="AH8" i="7" s="1"/>
  <c r="AD8" i="7"/>
  <c r="AI8" i="7" s="1"/>
  <c r="AE8" i="7"/>
  <c r="AJ8" i="7" s="1"/>
  <c r="AB9" i="7"/>
  <c r="AG9" i="7" s="1"/>
  <c r="AC9" i="7"/>
  <c r="AH9" i="7" s="1"/>
  <c r="AD9" i="7"/>
  <c r="AI9" i="7" s="1"/>
  <c r="AE9" i="7"/>
  <c r="AJ9" i="7" s="1"/>
  <c r="AB10" i="7"/>
  <c r="AG10" i="7" s="1"/>
  <c r="AC10" i="7"/>
  <c r="AH10" i="7" s="1"/>
  <c r="AD10" i="7"/>
  <c r="AI10" i="7" s="1"/>
  <c r="AE10" i="7"/>
  <c r="AJ10" i="7" s="1"/>
  <c r="AB11" i="7"/>
  <c r="AC11" i="7"/>
  <c r="AH11" i="7" s="1"/>
  <c r="AD11" i="7"/>
  <c r="AI11" i="7" s="1"/>
  <c r="AE11" i="7"/>
  <c r="AJ11" i="7" s="1"/>
  <c r="AB12" i="7"/>
  <c r="AC12" i="7"/>
  <c r="AH12" i="7" s="1"/>
  <c r="AD12" i="7"/>
  <c r="AI12" i="7" s="1"/>
  <c r="AE12" i="7"/>
  <c r="AJ12" i="7" s="1"/>
  <c r="AB13" i="7"/>
  <c r="AC13" i="7"/>
  <c r="AH13" i="7" s="1"/>
  <c r="AD13" i="7"/>
  <c r="AI13" i="7" s="1"/>
  <c r="AE13" i="7"/>
  <c r="AJ13" i="7" s="1"/>
  <c r="AB14" i="7"/>
  <c r="AG14" i="7" s="1"/>
  <c r="AC14" i="7"/>
  <c r="AH14" i="7" s="1"/>
  <c r="AD14" i="7"/>
  <c r="AI14" i="7" s="1"/>
  <c r="AE14" i="7"/>
  <c r="AJ14" i="7" s="1"/>
  <c r="AB15" i="7"/>
  <c r="AC15" i="7"/>
  <c r="AH15" i="7" s="1"/>
  <c r="AD15" i="7"/>
  <c r="AI15" i="7" s="1"/>
  <c r="AE15" i="7"/>
  <c r="AJ15" i="7" s="1"/>
  <c r="AB16" i="7"/>
  <c r="AC16" i="7"/>
  <c r="AH16" i="7" s="1"/>
  <c r="AD16" i="7"/>
  <c r="AI16" i="7" s="1"/>
  <c r="AE16" i="7"/>
  <c r="AJ16" i="7" s="1"/>
  <c r="AB17" i="7"/>
  <c r="AC17" i="7"/>
  <c r="AH17" i="7" s="1"/>
  <c r="AD17" i="7"/>
  <c r="AI17" i="7" s="1"/>
  <c r="AE17" i="7"/>
  <c r="AJ17" i="7" s="1"/>
  <c r="AB18" i="7"/>
  <c r="AG18" i="7" s="1"/>
  <c r="AC18" i="7"/>
  <c r="AH18" i="7" s="1"/>
  <c r="AD18" i="7"/>
  <c r="AI18" i="7" s="1"/>
  <c r="AE18" i="7"/>
  <c r="AJ18" i="7" s="1"/>
  <c r="AB19" i="7"/>
  <c r="AC19" i="7"/>
  <c r="AH19" i="7" s="1"/>
  <c r="AD19" i="7"/>
  <c r="AI19" i="7" s="1"/>
  <c r="AE19" i="7"/>
  <c r="AJ19" i="7" s="1"/>
  <c r="AB20" i="7"/>
  <c r="AC20" i="7"/>
  <c r="AH20" i="7" s="1"/>
  <c r="AD20" i="7"/>
  <c r="AI20" i="7" s="1"/>
  <c r="AE20" i="7"/>
  <c r="AJ20" i="7" s="1"/>
  <c r="AB21" i="7"/>
  <c r="AG21" i="7" s="1"/>
  <c r="AC21" i="7"/>
  <c r="AH21" i="7" s="1"/>
  <c r="AD21" i="7"/>
  <c r="AI21" i="7" s="1"/>
  <c r="AE21" i="7"/>
  <c r="AJ21" i="7" s="1"/>
  <c r="AB22" i="7"/>
  <c r="AG22" i="7" s="1"/>
  <c r="AC22" i="7"/>
  <c r="AH22" i="7" s="1"/>
  <c r="AD22" i="7"/>
  <c r="AI22" i="7" s="1"/>
  <c r="AE22" i="7"/>
  <c r="AJ22" i="7" s="1"/>
  <c r="AB23" i="7"/>
  <c r="AC23" i="7"/>
  <c r="AH23" i="7" s="1"/>
  <c r="AD23" i="7"/>
  <c r="AI23" i="7" s="1"/>
  <c r="AE23" i="7"/>
  <c r="AJ23" i="7" s="1"/>
  <c r="AB24" i="7"/>
  <c r="AG24" i="7" s="1"/>
  <c r="AC24" i="7"/>
  <c r="AH24" i="7" s="1"/>
  <c r="AD24" i="7"/>
  <c r="AI24" i="7" s="1"/>
  <c r="AE24" i="7"/>
  <c r="AJ24" i="7" s="1"/>
  <c r="AB25" i="7"/>
  <c r="AC25" i="7"/>
  <c r="AH25" i="7" s="1"/>
  <c r="AD25" i="7"/>
  <c r="AI25" i="7" s="1"/>
  <c r="AE25" i="7"/>
  <c r="AJ25" i="7" s="1"/>
  <c r="AB26" i="7"/>
  <c r="AG26" i="7" s="1"/>
  <c r="AC26" i="7"/>
  <c r="AH26" i="7" s="1"/>
  <c r="AD26" i="7"/>
  <c r="AI26" i="7" s="1"/>
  <c r="AE26" i="7"/>
  <c r="AJ26" i="7" s="1"/>
  <c r="AB27" i="7"/>
  <c r="AC27" i="7"/>
  <c r="AH27" i="7" s="1"/>
  <c r="AD27" i="7"/>
  <c r="AI27" i="7" s="1"/>
  <c r="AE27" i="7"/>
  <c r="AJ27" i="7" s="1"/>
  <c r="AB28" i="7"/>
  <c r="AG28" i="7" s="1"/>
  <c r="AC28" i="7"/>
  <c r="AH28" i="7" s="1"/>
  <c r="AD28" i="7"/>
  <c r="AI28" i="7" s="1"/>
  <c r="AE28" i="7"/>
  <c r="AJ28" i="7" s="1"/>
  <c r="AB29" i="7"/>
  <c r="AC29" i="7"/>
  <c r="AH29" i="7" s="1"/>
  <c r="AD29" i="7"/>
  <c r="AI29" i="7" s="1"/>
  <c r="AE29" i="7"/>
  <c r="AJ29" i="7" s="1"/>
  <c r="AB30" i="7"/>
  <c r="AG30" i="7" s="1"/>
  <c r="AC30" i="7"/>
  <c r="AH30" i="7" s="1"/>
  <c r="AD30" i="7"/>
  <c r="AI30" i="7" s="1"/>
  <c r="AE30" i="7"/>
  <c r="AJ30" i="7" s="1"/>
  <c r="AB31" i="7"/>
  <c r="AC31" i="7"/>
  <c r="AH31" i="7" s="1"/>
  <c r="AD31" i="7"/>
  <c r="AI31" i="7" s="1"/>
  <c r="AE31" i="7"/>
  <c r="AJ31" i="7" s="1"/>
  <c r="AB32" i="7"/>
  <c r="AG32" i="7" s="1"/>
  <c r="AC32" i="7"/>
  <c r="AH32" i="7" s="1"/>
  <c r="AD32" i="7"/>
  <c r="AI32" i="7" s="1"/>
  <c r="AE32" i="7"/>
  <c r="AJ32" i="7" s="1"/>
  <c r="AB33" i="7"/>
  <c r="AG33" i="7" s="1"/>
  <c r="AC33" i="7"/>
  <c r="AH33" i="7" s="1"/>
  <c r="AD33" i="7"/>
  <c r="AI33" i="7" s="1"/>
  <c r="AE33" i="7"/>
  <c r="AJ33" i="7" s="1"/>
  <c r="AB34" i="7"/>
  <c r="AG34" i="7" s="1"/>
  <c r="AC34" i="7"/>
  <c r="AH34" i="7" s="1"/>
  <c r="AD34" i="7"/>
  <c r="AI34" i="7" s="1"/>
  <c r="AE34" i="7"/>
  <c r="AJ34" i="7" s="1"/>
  <c r="AB35" i="7"/>
  <c r="AC35" i="7"/>
  <c r="AH35" i="7" s="1"/>
  <c r="AD35" i="7"/>
  <c r="AI35" i="7" s="1"/>
  <c r="AE35" i="7"/>
  <c r="AJ35" i="7" s="1"/>
  <c r="AB36" i="7"/>
  <c r="AG36" i="7" s="1"/>
  <c r="AC36" i="7"/>
  <c r="AH36" i="7" s="1"/>
  <c r="AD36" i="7"/>
  <c r="AI36" i="7" s="1"/>
  <c r="AE36" i="7"/>
  <c r="AJ36" i="7" s="1"/>
  <c r="AB37" i="7"/>
  <c r="AC37" i="7"/>
  <c r="AH37" i="7" s="1"/>
  <c r="AD37" i="7"/>
  <c r="AI37" i="7" s="1"/>
  <c r="AE37" i="7"/>
  <c r="AJ37" i="7" s="1"/>
  <c r="AB38" i="7"/>
  <c r="AG38" i="7" s="1"/>
  <c r="AC38" i="7"/>
  <c r="AH38" i="7" s="1"/>
  <c r="AD38" i="7"/>
  <c r="AI38" i="7" s="1"/>
  <c r="AE38" i="7"/>
  <c r="AJ38" i="7" s="1"/>
  <c r="AB39" i="7"/>
  <c r="AC39" i="7"/>
  <c r="AH39" i="7" s="1"/>
  <c r="AD39" i="7"/>
  <c r="AI39" i="7" s="1"/>
  <c r="AE39" i="7"/>
  <c r="AJ39" i="7" s="1"/>
  <c r="AB40" i="7"/>
  <c r="AC40" i="7"/>
  <c r="AH40" i="7" s="1"/>
  <c r="AD40" i="7"/>
  <c r="AI40" i="7" s="1"/>
  <c r="AE40" i="7"/>
  <c r="AJ40" i="7" s="1"/>
  <c r="AB41" i="7"/>
  <c r="AC41" i="7"/>
  <c r="AH41" i="7" s="1"/>
  <c r="AD41" i="7"/>
  <c r="AI41" i="7" s="1"/>
  <c r="AE41" i="7"/>
  <c r="AJ41" i="7" s="1"/>
  <c r="AB42" i="7"/>
  <c r="AG42" i="7" s="1"/>
  <c r="AC42" i="7"/>
  <c r="AH42" i="7" s="1"/>
  <c r="AD42" i="7"/>
  <c r="AI42" i="7" s="1"/>
  <c r="AE42" i="7"/>
  <c r="AJ42" i="7" s="1"/>
  <c r="AB43" i="7"/>
  <c r="AC43" i="7"/>
  <c r="AH43" i="7" s="1"/>
  <c r="AD43" i="7"/>
  <c r="AI43" i="7" s="1"/>
  <c r="AE43" i="7"/>
  <c r="AJ43" i="7" s="1"/>
  <c r="AB44" i="7"/>
  <c r="AC44" i="7"/>
  <c r="AH44" i="7" s="1"/>
  <c r="AD44" i="7"/>
  <c r="AI44" i="7" s="1"/>
  <c r="AE44" i="7"/>
  <c r="AJ44" i="7" s="1"/>
  <c r="AB45" i="7"/>
  <c r="AC45" i="7"/>
  <c r="AH45" i="7" s="1"/>
  <c r="AD45" i="7"/>
  <c r="AI45" i="7" s="1"/>
  <c r="AE45" i="7"/>
  <c r="AJ45" i="7" s="1"/>
  <c r="AB46" i="7"/>
  <c r="AG46" i="7" s="1"/>
  <c r="AC46" i="7"/>
  <c r="AH46" i="7" s="1"/>
  <c r="AD46" i="7"/>
  <c r="AI46" i="7" s="1"/>
  <c r="AE46" i="7"/>
  <c r="AJ46" i="7" s="1"/>
  <c r="AB47" i="7"/>
  <c r="AC47" i="7"/>
  <c r="AH47" i="7" s="1"/>
  <c r="AD47" i="7"/>
  <c r="AI47" i="7" s="1"/>
  <c r="AE47" i="7"/>
  <c r="AJ47" i="7" s="1"/>
  <c r="AB48" i="7"/>
  <c r="AG48" i="7" s="1"/>
  <c r="AC48" i="7"/>
  <c r="AH48" i="7" s="1"/>
  <c r="AD48" i="7"/>
  <c r="AI48" i="7" s="1"/>
  <c r="AE48" i="7"/>
  <c r="AJ48" i="7" s="1"/>
  <c r="AB49" i="7"/>
  <c r="AC49" i="7"/>
  <c r="AH49" i="7" s="1"/>
  <c r="AD49" i="7"/>
  <c r="AI49" i="7" s="1"/>
  <c r="AE49" i="7"/>
  <c r="AJ49" i="7" s="1"/>
  <c r="AB50" i="7"/>
  <c r="AG50" i="7" s="1"/>
  <c r="AC50" i="7"/>
  <c r="AH50" i="7" s="1"/>
  <c r="AD50" i="7"/>
  <c r="AI50" i="7" s="1"/>
  <c r="AE50" i="7"/>
  <c r="AJ50" i="7" s="1"/>
  <c r="AB51" i="7"/>
  <c r="AC51" i="7"/>
  <c r="AH51" i="7" s="1"/>
  <c r="AD51" i="7"/>
  <c r="AI51" i="7" s="1"/>
  <c r="AE51" i="7"/>
  <c r="AJ51" i="7" s="1"/>
  <c r="AB52" i="7"/>
  <c r="AG52" i="7" s="1"/>
  <c r="AC52" i="7"/>
  <c r="AH52" i="7" s="1"/>
  <c r="AD52" i="7"/>
  <c r="AI52" i="7" s="1"/>
  <c r="AE52" i="7"/>
  <c r="AJ52" i="7" s="1"/>
  <c r="AB53" i="7"/>
  <c r="AG53" i="7" s="1"/>
  <c r="AC53" i="7"/>
  <c r="AH53" i="7" s="1"/>
  <c r="AD53" i="7"/>
  <c r="AI53" i="7" s="1"/>
  <c r="AE53" i="7"/>
  <c r="AJ53" i="7" s="1"/>
  <c r="AB54" i="7"/>
  <c r="AG54" i="7" s="1"/>
  <c r="AC54" i="7"/>
  <c r="AH54" i="7" s="1"/>
  <c r="AD54" i="7"/>
  <c r="AI54" i="7" s="1"/>
  <c r="AE54" i="7"/>
  <c r="AJ54" i="7" s="1"/>
  <c r="AB55" i="7"/>
  <c r="AC55" i="7"/>
  <c r="AH55" i="7" s="1"/>
  <c r="AD55" i="7"/>
  <c r="AI55" i="7" s="1"/>
  <c r="AE55" i="7"/>
  <c r="AJ55" i="7" s="1"/>
  <c r="AB56" i="7"/>
  <c r="AG56" i="7" s="1"/>
  <c r="AC56" i="7"/>
  <c r="AH56" i="7" s="1"/>
  <c r="AD56" i="7"/>
  <c r="AI56" i="7" s="1"/>
  <c r="AE56" i="7"/>
  <c r="AJ56" i="7" s="1"/>
  <c r="AB57" i="7"/>
  <c r="AC57" i="7"/>
  <c r="AH57" i="7" s="1"/>
  <c r="AD57" i="7"/>
  <c r="AI57" i="7" s="1"/>
  <c r="AE57" i="7"/>
  <c r="AJ57" i="7" s="1"/>
  <c r="AB58" i="7"/>
  <c r="AG58" i="7" s="1"/>
  <c r="AC58" i="7"/>
  <c r="AH58" i="7" s="1"/>
  <c r="AD58" i="7"/>
  <c r="AI58" i="7" s="1"/>
  <c r="AE58" i="7"/>
  <c r="AJ58" i="7" s="1"/>
  <c r="AB59" i="7"/>
  <c r="AC59" i="7"/>
  <c r="AH59" i="7" s="1"/>
  <c r="AD59" i="7"/>
  <c r="AI59" i="7" s="1"/>
  <c r="AE59" i="7"/>
  <c r="AJ59" i="7" s="1"/>
  <c r="AB60" i="7"/>
  <c r="AC60" i="7"/>
  <c r="AH60" i="7" s="1"/>
  <c r="AD60" i="7"/>
  <c r="AI60" i="7" s="1"/>
  <c r="AE60" i="7"/>
  <c r="AJ60" i="7" s="1"/>
  <c r="AB61" i="7"/>
  <c r="AG61" i="7" s="1"/>
  <c r="AC61" i="7"/>
  <c r="AH61" i="7" s="1"/>
  <c r="AD61" i="7"/>
  <c r="AI61" i="7" s="1"/>
  <c r="AE61" i="7"/>
  <c r="AJ61" i="7" s="1"/>
  <c r="AB62" i="7"/>
  <c r="AG62" i="7" s="1"/>
  <c r="AC62" i="7"/>
  <c r="AH62" i="7" s="1"/>
  <c r="AD62" i="7"/>
  <c r="AI62" i="7" s="1"/>
  <c r="AE62" i="7"/>
  <c r="AJ62" i="7" s="1"/>
  <c r="AB63" i="7"/>
  <c r="AC63" i="7"/>
  <c r="AH63" i="7" s="1"/>
  <c r="AD63" i="7"/>
  <c r="AI63" i="7" s="1"/>
  <c r="AE63" i="7"/>
  <c r="AJ63" i="7" s="1"/>
  <c r="AB64" i="7"/>
  <c r="AG64" i="7" s="1"/>
  <c r="AC64" i="7"/>
  <c r="AH64" i="7" s="1"/>
  <c r="AD64" i="7"/>
  <c r="AI64" i="7" s="1"/>
  <c r="AE64" i="7"/>
  <c r="AJ64" i="7" s="1"/>
  <c r="AB65" i="7"/>
  <c r="AG65" i="7" s="1"/>
  <c r="AC65" i="7"/>
  <c r="AH65" i="7" s="1"/>
  <c r="AD65" i="7"/>
  <c r="AI65" i="7" s="1"/>
  <c r="AE65" i="7"/>
  <c r="AJ65" i="7" s="1"/>
  <c r="AB66" i="7"/>
  <c r="AG66" i="7" s="1"/>
  <c r="AC66" i="7"/>
  <c r="AH66" i="7" s="1"/>
  <c r="AD66" i="7"/>
  <c r="AI66" i="7" s="1"/>
  <c r="AE66" i="7"/>
  <c r="AJ66" i="7" s="1"/>
  <c r="AB67" i="7"/>
  <c r="AC67" i="7"/>
  <c r="AH67" i="7" s="1"/>
  <c r="AD67" i="7"/>
  <c r="AI67" i="7" s="1"/>
  <c r="AE67" i="7"/>
  <c r="AJ67" i="7" s="1"/>
  <c r="AB68" i="7"/>
  <c r="AG68" i="7" s="1"/>
  <c r="AC68" i="7"/>
  <c r="AH68" i="7" s="1"/>
  <c r="AD68" i="7"/>
  <c r="AI68" i="7" s="1"/>
  <c r="AE68" i="7"/>
  <c r="AJ68" i="7" s="1"/>
  <c r="AB69" i="7"/>
  <c r="AG69" i="7" s="1"/>
  <c r="AC69" i="7"/>
  <c r="AH69" i="7" s="1"/>
  <c r="AD69" i="7"/>
  <c r="AI69" i="7" s="1"/>
  <c r="AE69" i="7"/>
  <c r="AJ69" i="7" s="1"/>
  <c r="AB70" i="7"/>
  <c r="AG70" i="7" s="1"/>
  <c r="AC70" i="7"/>
  <c r="AH70" i="7" s="1"/>
  <c r="AD70" i="7"/>
  <c r="AI70" i="7" s="1"/>
  <c r="AE70" i="7"/>
  <c r="AJ70" i="7" s="1"/>
  <c r="AB71" i="7"/>
  <c r="AC71" i="7"/>
  <c r="AH71" i="7" s="1"/>
  <c r="AD71" i="7"/>
  <c r="AI71" i="7" s="1"/>
  <c r="AE71" i="7"/>
  <c r="AJ71" i="7" s="1"/>
  <c r="AB72" i="7"/>
  <c r="AG72" i="7" s="1"/>
  <c r="AC72" i="7"/>
  <c r="AH72" i="7" s="1"/>
  <c r="AD72" i="7"/>
  <c r="AI72" i="7" s="1"/>
  <c r="AE72" i="7"/>
  <c r="AJ72" i="7" s="1"/>
  <c r="AB73" i="7"/>
  <c r="AC73" i="7"/>
  <c r="AH73" i="7" s="1"/>
  <c r="AD73" i="7"/>
  <c r="AI73" i="7" s="1"/>
  <c r="AE73" i="7"/>
  <c r="AJ73" i="7" s="1"/>
  <c r="AB74" i="7"/>
  <c r="AG74" i="7" s="1"/>
  <c r="AC74" i="7"/>
  <c r="AH74" i="7" s="1"/>
  <c r="AD74" i="7"/>
  <c r="AI74" i="7" s="1"/>
  <c r="AE74" i="7"/>
  <c r="AJ74" i="7" s="1"/>
  <c r="AB75" i="7"/>
  <c r="AC75" i="7"/>
  <c r="AH75" i="7" s="1"/>
  <c r="AD75" i="7"/>
  <c r="AI75" i="7" s="1"/>
  <c r="AE75" i="7"/>
  <c r="AJ75" i="7" s="1"/>
  <c r="AC4" i="7"/>
  <c r="AH4" i="7" s="1"/>
  <c r="AD4" i="7"/>
  <c r="AI4" i="7" s="1"/>
  <c r="AE4" i="7"/>
  <c r="AJ4" i="7" s="1"/>
  <c r="F19" i="21" l="1"/>
  <c r="F20" i="21"/>
  <c r="F18" i="21"/>
  <c r="I18" i="21"/>
  <c r="I22" i="21" s="1"/>
  <c r="I10" i="21"/>
  <c r="AK4" i="7"/>
  <c r="AG59" i="15"/>
  <c r="AH59" i="15" s="1"/>
  <c r="AG16" i="15"/>
  <c r="AH16" i="15" s="1"/>
  <c r="AG62" i="15"/>
  <c r="AH62" i="15" s="1"/>
  <c r="AG9" i="15"/>
  <c r="AH9" i="15" s="1"/>
  <c r="AG21" i="15"/>
  <c r="AH21" i="15" s="1"/>
  <c r="AG2" i="15"/>
  <c r="AH2" i="15" s="1"/>
  <c r="AG5" i="15"/>
  <c r="AH5" i="15" s="1"/>
  <c r="AG17" i="15"/>
  <c r="AH17" i="15" s="1"/>
  <c r="AG19" i="15"/>
  <c r="AH19" i="15" s="1"/>
  <c r="AG56" i="15"/>
  <c r="AH56" i="15" s="1"/>
  <c r="AG60" i="15"/>
  <c r="AH60" i="15" s="1"/>
  <c r="AG71" i="15"/>
  <c r="AH71" i="15" s="1"/>
  <c r="AG58" i="15"/>
  <c r="AH58" i="15" s="1"/>
  <c r="AG46" i="15"/>
  <c r="AH46" i="15" s="1"/>
  <c r="AG33" i="15"/>
  <c r="AH33" i="15" s="1"/>
  <c r="AG27" i="15"/>
  <c r="AH27" i="15" s="1"/>
  <c r="AG61" i="15"/>
  <c r="AH61" i="15" s="1"/>
  <c r="AG43" i="15"/>
  <c r="AH43" i="15" s="1"/>
  <c r="AG44" i="15"/>
  <c r="AH44" i="15" s="1"/>
  <c r="AG12" i="15"/>
  <c r="AH12" i="15" s="1"/>
  <c r="AG22" i="15"/>
  <c r="AH22" i="15" s="1"/>
  <c r="AG51" i="15"/>
  <c r="AH51" i="15" s="1"/>
  <c r="AG11" i="15"/>
  <c r="AH11" i="15" s="1"/>
  <c r="AG40" i="15"/>
  <c r="AH40" i="15" s="1"/>
  <c r="AG29" i="15"/>
  <c r="AH29" i="15" s="1"/>
  <c r="AG10" i="15"/>
  <c r="AH10" i="15" s="1"/>
  <c r="AG6" i="15"/>
  <c r="AH6" i="15" s="1"/>
  <c r="AG23" i="15"/>
  <c r="AH23" i="15" s="1"/>
  <c r="AG73" i="15"/>
  <c r="AH73" i="15" s="1"/>
  <c r="AG36" i="15"/>
  <c r="AH36" i="15" s="1"/>
  <c r="AG3" i="15"/>
  <c r="AH3" i="15" s="1"/>
  <c r="AG72" i="15"/>
  <c r="AH72" i="15" s="1"/>
  <c r="AG50" i="15"/>
  <c r="AH50" i="15" s="1"/>
  <c r="AG69" i="15"/>
  <c r="AH69" i="15" s="1"/>
  <c r="AG13" i="15"/>
  <c r="AH13" i="15" s="1"/>
  <c r="AG54" i="15"/>
  <c r="AH54" i="15" s="1"/>
  <c r="AG53" i="15"/>
  <c r="AH53" i="15" s="1"/>
  <c r="AG25" i="15"/>
  <c r="AH25" i="15" s="1"/>
  <c r="AG65" i="15"/>
  <c r="AH65" i="15" s="1"/>
  <c r="AG49" i="15"/>
  <c r="AH49" i="15" s="1"/>
  <c r="AG26" i="15"/>
  <c r="AH26" i="15" s="1"/>
  <c r="AG45" i="15"/>
  <c r="AH45" i="15" s="1"/>
  <c r="AG18" i="15"/>
  <c r="AH18" i="15" s="1"/>
  <c r="AG39" i="15"/>
  <c r="AH39" i="15" s="1"/>
  <c r="AG68" i="15"/>
  <c r="AH68" i="15" s="1"/>
  <c r="AG14" i="15"/>
  <c r="AH14" i="15" s="1"/>
  <c r="AG30" i="15"/>
  <c r="AH30" i="15" s="1"/>
  <c r="AG66" i="15"/>
  <c r="AH66" i="15" s="1"/>
  <c r="AG64" i="15"/>
  <c r="AH64" i="15" s="1"/>
  <c r="AG42" i="15"/>
  <c r="AH42" i="15" s="1"/>
  <c r="AG70" i="15"/>
  <c r="AH70" i="15" s="1"/>
  <c r="AG4" i="15"/>
  <c r="AH4" i="15" s="1"/>
  <c r="AG63" i="15"/>
  <c r="AH63" i="15" s="1"/>
  <c r="AG37" i="15"/>
  <c r="AH37" i="15" s="1"/>
  <c r="AG24" i="15"/>
  <c r="AH24" i="15" s="1"/>
  <c r="AG32" i="15"/>
  <c r="AH32" i="15" s="1"/>
  <c r="AG67" i="15"/>
  <c r="AH67" i="15" s="1"/>
  <c r="AG48" i="15"/>
  <c r="AH48" i="15" s="1"/>
  <c r="AG15" i="15"/>
  <c r="AH15" i="15" s="1"/>
  <c r="AG55" i="15"/>
  <c r="AH55" i="15" s="1"/>
  <c r="AG8" i="15"/>
  <c r="AH8" i="15" s="1"/>
  <c r="AG57" i="15"/>
  <c r="AH57" i="15" s="1"/>
  <c r="AG38" i="15"/>
  <c r="AH38" i="15" s="1"/>
  <c r="AG52" i="15"/>
  <c r="AH52" i="15" s="1"/>
  <c r="AG28" i="15"/>
  <c r="AH28" i="15" s="1"/>
  <c r="AG20" i="15"/>
  <c r="AH20" i="15" s="1"/>
  <c r="AG7" i="15"/>
  <c r="AH7" i="15" s="1"/>
  <c r="AF29" i="7"/>
  <c r="AG29" i="7"/>
  <c r="AK29" i="7" s="1"/>
  <c r="AK70" i="7"/>
  <c r="AF37" i="7"/>
  <c r="AF49" i="7"/>
  <c r="AF73" i="7"/>
  <c r="AF53" i="7"/>
  <c r="AK50" i="7"/>
  <c r="AG37" i="7"/>
  <c r="AK37" i="7" s="1"/>
  <c r="AK34" i="7"/>
  <c r="AK52" i="7"/>
  <c r="AF57" i="7"/>
  <c r="AF5" i="7"/>
  <c r="AG49" i="7"/>
  <c r="AK49" i="7" s="1"/>
  <c r="AF44" i="7"/>
  <c r="AF25" i="7"/>
  <c r="AF41" i="7"/>
  <c r="AF45" i="7"/>
  <c r="AF69" i="7"/>
  <c r="AK42" i="7"/>
  <c r="AF33" i="7"/>
  <c r="AF60" i="7"/>
  <c r="AG73" i="7"/>
  <c r="AK73" i="7" s="1"/>
  <c r="AK65" i="7"/>
  <c r="AK36" i="7"/>
  <c r="AK56" i="7"/>
  <c r="AK33" i="7"/>
  <c r="AF11" i="7"/>
  <c r="AK69" i="7"/>
  <c r="AF35" i="7"/>
  <c r="AF40" i="7"/>
  <c r="AK64" i="7"/>
  <c r="AG57" i="7"/>
  <c r="AK57" i="7" s="1"/>
  <c r="AG41" i="7"/>
  <c r="AK41" i="7" s="1"/>
  <c r="AF64" i="7"/>
  <c r="AG40" i="7"/>
  <c r="AK40" i="7" s="1"/>
  <c r="AF24" i="7"/>
  <c r="AF21" i="7"/>
  <c r="AF13" i="7"/>
  <c r="AK53" i="7"/>
  <c r="AF67" i="7"/>
  <c r="AF47" i="7"/>
  <c r="AG45" i="7"/>
  <c r="AK45" i="7" s="1"/>
  <c r="AG25" i="7"/>
  <c r="AK25" i="7" s="1"/>
  <c r="AF17" i="7"/>
  <c r="AF12" i="7"/>
  <c r="AG5" i="7"/>
  <c r="AK5" i="7" s="1"/>
  <c r="AF65" i="7"/>
  <c r="AF63" i="7"/>
  <c r="AF61" i="7"/>
  <c r="AG60" i="7"/>
  <c r="AK60" i="7" s="1"/>
  <c r="AF52" i="7"/>
  <c r="AG44" i="7"/>
  <c r="AK44" i="7" s="1"/>
  <c r="AF36" i="7"/>
  <c r="AF27" i="7"/>
  <c r="AK32" i="7"/>
  <c r="AF39" i="7"/>
  <c r="AK28" i="7"/>
  <c r="AF71" i="7"/>
  <c r="AK24" i="7"/>
  <c r="AF75" i="7"/>
  <c r="AF31" i="7"/>
  <c r="AF72" i="7"/>
  <c r="AK68" i="7"/>
  <c r="AF48" i="7"/>
  <c r="AF32" i="7"/>
  <c r="AF23" i="7"/>
  <c r="AF20" i="7"/>
  <c r="AK48" i="7"/>
  <c r="AF55" i="7"/>
  <c r="AF51" i="7"/>
  <c r="AF56" i="7"/>
  <c r="AF68" i="7"/>
  <c r="AF59" i="7"/>
  <c r="AF43" i="7"/>
  <c r="AF28" i="7"/>
  <c r="AK18" i="7"/>
  <c r="AI76" i="7"/>
  <c r="AK9" i="7"/>
  <c r="AJ76" i="7"/>
  <c r="AH76" i="7"/>
  <c r="AF8" i="7"/>
  <c r="AK14" i="7"/>
  <c r="AF9" i="7"/>
  <c r="AC76" i="7"/>
  <c r="AF16" i="7"/>
  <c r="AK10" i="7"/>
  <c r="AF7" i="7"/>
  <c r="AG17" i="7"/>
  <c r="AK17" i="7" s="1"/>
  <c r="AG16" i="7"/>
  <c r="AK16" i="7" s="1"/>
  <c r="AF19" i="7"/>
  <c r="AG13" i="7"/>
  <c r="AK13" i="7" s="1"/>
  <c r="AG12" i="7"/>
  <c r="AK12" i="7" s="1"/>
  <c r="AE76" i="7"/>
  <c r="AG20" i="7"/>
  <c r="AK20" i="7" s="1"/>
  <c r="AF15" i="7"/>
  <c r="AG8" i="7"/>
  <c r="AK8" i="7" s="1"/>
  <c r="AB76" i="7"/>
  <c r="AD76" i="7"/>
  <c r="AK58" i="7"/>
  <c r="AK54" i="7"/>
  <c r="AK38" i="7"/>
  <c r="AK6" i="7"/>
  <c r="AK61" i="7"/>
  <c r="AK74" i="7"/>
  <c r="AK72" i="7"/>
  <c r="AK66" i="7"/>
  <c r="AK46" i="7"/>
  <c r="AK30" i="7"/>
  <c r="AK21" i="7"/>
  <c r="AK62" i="7"/>
  <c r="AK26" i="7"/>
  <c r="AK22" i="7"/>
  <c r="AF74" i="7"/>
  <c r="AF70" i="7"/>
  <c r="AF66" i="7"/>
  <c r="AF62" i="7"/>
  <c r="AF58" i="7"/>
  <c r="AF54" i="7"/>
  <c r="AF50" i="7"/>
  <c r="AF46" i="7"/>
  <c r="AF42" i="7"/>
  <c r="AF38" i="7"/>
  <c r="AF34" i="7"/>
  <c r="AF30" i="7"/>
  <c r="AF26" i="7"/>
  <c r="AF22" i="7"/>
  <c r="AF18" i="7"/>
  <c r="AF14" i="7"/>
  <c r="AF10" i="7"/>
  <c r="AF6" i="7"/>
  <c r="AG75" i="7"/>
  <c r="AK75" i="7" s="1"/>
  <c r="AG71" i="7"/>
  <c r="AK71" i="7" s="1"/>
  <c r="AG67" i="7"/>
  <c r="AK67" i="7" s="1"/>
  <c r="AG63" i="7"/>
  <c r="AK63" i="7" s="1"/>
  <c r="AG59" i="7"/>
  <c r="AK59" i="7" s="1"/>
  <c r="AG55" i="7"/>
  <c r="AK55" i="7" s="1"/>
  <c r="AG51" i="7"/>
  <c r="AK51" i="7" s="1"/>
  <c r="AG47" i="7"/>
  <c r="AK47" i="7" s="1"/>
  <c r="AG43" i="7"/>
  <c r="AK43" i="7" s="1"/>
  <c r="AG39" i="7"/>
  <c r="AK39" i="7" s="1"/>
  <c r="AG35" i="7"/>
  <c r="AK35" i="7" s="1"/>
  <c r="AG31" i="7"/>
  <c r="AK31" i="7" s="1"/>
  <c r="AG27" i="7"/>
  <c r="AK27" i="7" s="1"/>
  <c r="AG23" i="7"/>
  <c r="AK23" i="7" s="1"/>
  <c r="AG19" i="7"/>
  <c r="AK19" i="7" s="1"/>
  <c r="AG15" i="7"/>
  <c r="AK15" i="7" s="1"/>
  <c r="AG11" i="7"/>
  <c r="AK11" i="7" s="1"/>
  <c r="AG7" i="7"/>
  <c r="AK7" i="7" s="1"/>
  <c r="AF4" i="7"/>
  <c r="AF76" i="7" l="1"/>
  <c r="AK76" i="7"/>
  <c r="AG7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tc={2F647012-30CE-D54F-A344-954664058134}</author>
    <author>tc={FA8E6C91-E869-CE46-9F17-5321723CC4FD}</author>
    <author>tc={E21B92FE-029D-BE44-9BB2-70A8DB8499CA}</author>
  </authors>
  <commentList>
    <comment ref="AE59" authorId="0" shapeId="0" xr:uid="{2F647012-30CE-D54F-A344-954664058134}">
      <text>
        <t>[Threaded comment]
Your version of Excel allows you to read this threaded comment; however, any edits to it will get removed if the file is opened in a newer version of Excel. Learn more: https://go.microsoft.com/fwlink/?linkid=870924
Comment:
    2015</t>
      </text>
    </comment>
    <comment ref="AE70" authorId="1" shapeId="0" xr:uid="{FA8E6C91-E869-CE46-9F17-5321723CC4FD}">
      <text>
        <t>[Threaded comment]
Your version of Excel allows you to read this threaded comment; however, any edits to it will get removed if the file is opened in a newer version of Excel. Learn more: https://go.microsoft.com/fwlink/?linkid=870924
Comment:
    2014</t>
      </text>
    </comment>
    <comment ref="AE71" authorId="2" shapeId="0" xr:uid="{E21B92FE-029D-BE44-9BB2-70A8DB8499CA}">
      <text>
        <t>[Threaded comment]
Your version of Excel allows you to read this threaded comment; however, any edits to it will get removed if the file is opened in a newer version of Excel. Learn more: https://go.microsoft.com/fwlink/?linkid=870924
Comment:
    2018</t>
      </text>
    </comment>
  </commentList>
</comments>
</file>

<file path=xl/sharedStrings.xml><?xml version="1.0" encoding="utf-8"?>
<sst xmlns="http://schemas.openxmlformats.org/spreadsheetml/2006/main" count="1051" uniqueCount="249">
  <si>
    <t>Country</t>
  </si>
  <si>
    <t>Code</t>
  </si>
  <si>
    <t>Income Group</t>
  </si>
  <si>
    <t>Total Annual Cost (US$M)</t>
  </si>
  <si>
    <t>EUROPE &amp; CENTRAL ASIA</t>
  </si>
  <si>
    <t>TüRKIYE</t>
  </si>
  <si>
    <t>TUR</t>
  </si>
  <si>
    <t>UPPER MIDDLE INCOME</t>
  </si>
  <si>
    <t>IBRD</t>
  </si>
  <si>
    <t>RUSSIAN FEDERATION</t>
  </si>
  <si>
    <t>RUS</t>
  </si>
  <si>
    <t>LATIN AMERICA &amp; CARIBBEAN</t>
  </si>
  <si>
    <t>COLOMBIA</t>
  </si>
  <si>
    <t>COL</t>
  </si>
  <si>
    <t>PERU</t>
  </si>
  <si>
    <t>PER</t>
  </si>
  <si>
    <t>BRAZIL</t>
  </si>
  <si>
    <t>BRA</t>
  </si>
  <si>
    <t>MIDDLE EAST &amp; NORTH AFRICA</t>
  </si>
  <si>
    <t>IRN</t>
  </si>
  <si>
    <t>LOWER MIDDLE INCOME</t>
  </si>
  <si>
    <t>LEBANON</t>
  </si>
  <si>
    <t>LBN</t>
  </si>
  <si>
    <t>JORDAN</t>
  </si>
  <si>
    <t>JOR</t>
  </si>
  <si>
    <t>IRAQ</t>
  </si>
  <si>
    <t>IRQ</t>
  </si>
  <si>
    <t>SOUTH ASIA</t>
  </si>
  <si>
    <t>PAKISTAN</t>
  </si>
  <si>
    <t>PAK</t>
  </si>
  <si>
    <t>BANGLADESH</t>
  </si>
  <si>
    <t>BGD</t>
  </si>
  <si>
    <t>IDA</t>
  </si>
  <si>
    <t>SUB-SAHARAN AFRICA</t>
  </si>
  <si>
    <t>UGANDA</t>
  </si>
  <si>
    <t>UGA</t>
  </si>
  <si>
    <t>LOW INCOME</t>
  </si>
  <si>
    <t>SUDAN</t>
  </si>
  <si>
    <t>SDN</t>
  </si>
  <si>
    <t>ETHIOPIA</t>
  </si>
  <si>
    <t>ETH</t>
  </si>
  <si>
    <t>DEMOCRATIC REPUBLIC OF THE CONGO</t>
  </si>
  <si>
    <t>COD</t>
  </si>
  <si>
    <t>KENYA</t>
  </si>
  <si>
    <t>KEN</t>
  </si>
  <si>
    <t>CHAD</t>
  </si>
  <si>
    <t>TCD</t>
  </si>
  <si>
    <t>CAMEROON</t>
  </si>
  <si>
    <t>CMR</t>
  </si>
  <si>
    <t>NIGER</t>
  </si>
  <si>
    <t>NER</t>
  </si>
  <si>
    <t>SOUTH SUDAN</t>
  </si>
  <si>
    <t>SSD</t>
  </si>
  <si>
    <t>country</t>
  </si>
  <si>
    <t>code</t>
  </si>
  <si>
    <t>region</t>
  </si>
  <si>
    <t>incomegroup</t>
  </si>
  <si>
    <t>refugee</t>
  </si>
  <si>
    <t>asylum</t>
  </si>
  <si>
    <t>vda</t>
  </si>
  <si>
    <t>tot_pop</t>
  </si>
  <si>
    <t>pop_prm</t>
  </si>
  <si>
    <t>pop_sec</t>
  </si>
  <si>
    <t>pop_school_age</t>
  </si>
  <si>
    <t>BLEND</t>
  </si>
  <si>
    <t>PARAGUAY</t>
  </si>
  <si>
    <t>PRY</t>
  </si>
  <si>
    <t>NEPAL</t>
  </si>
  <si>
    <t>NPL</t>
  </si>
  <si>
    <t>INDONESIA</t>
  </si>
  <si>
    <t>IDN</t>
  </si>
  <si>
    <t>NAMIBIA</t>
  </si>
  <si>
    <t>NAM</t>
  </si>
  <si>
    <t>TUNISIA</t>
  </si>
  <si>
    <t>TUN</t>
  </si>
  <si>
    <t>GHANA</t>
  </si>
  <si>
    <t>GHA</t>
  </si>
  <si>
    <t>TAJIKISTAN</t>
  </si>
  <si>
    <t>TJK</t>
  </si>
  <si>
    <t>UZBEKISTAN</t>
  </si>
  <si>
    <t>UZB</t>
  </si>
  <si>
    <t>VENEZUELA (BOLIVARIAN REPUBLIC OF)</t>
  </si>
  <si>
    <t>VEN</t>
  </si>
  <si>
    <t>TOGO</t>
  </si>
  <si>
    <t>TGO</t>
  </si>
  <si>
    <t>PAPUA NEW GUINEA</t>
  </si>
  <si>
    <t>PNG</t>
  </si>
  <si>
    <t>MOROCCO</t>
  </si>
  <si>
    <t>MAR</t>
  </si>
  <si>
    <t>CENTRAL AFRICAN REPUBLIC</t>
  </si>
  <si>
    <t>CAF</t>
  </si>
  <si>
    <t>BOLIVIA (PLURINATIONAL STATE OF)</t>
  </si>
  <si>
    <t>BOL</t>
  </si>
  <si>
    <t>SENEGAL</t>
  </si>
  <si>
    <t>SEN</t>
  </si>
  <si>
    <t>GEORGIA</t>
  </si>
  <si>
    <t>GEO</t>
  </si>
  <si>
    <t>SYRIAN ARAB REPUBLIC</t>
  </si>
  <si>
    <t>SYR</t>
  </si>
  <si>
    <t>BELARUS</t>
  </si>
  <si>
    <t>BLR</t>
  </si>
  <si>
    <t>ZIMBABWE</t>
  </si>
  <si>
    <t>ZWE</t>
  </si>
  <si>
    <t>SERBIA</t>
  </si>
  <si>
    <t>SRB</t>
  </si>
  <si>
    <t>ARGENTINA</t>
  </si>
  <si>
    <t>ARG</t>
  </si>
  <si>
    <t>MOZAMBIQUE</t>
  </si>
  <si>
    <t>MOZ</t>
  </si>
  <si>
    <t>DJIBOUTI</t>
  </si>
  <si>
    <t>DJI</t>
  </si>
  <si>
    <t>MONTENEGRO</t>
  </si>
  <si>
    <t>MNE</t>
  </si>
  <si>
    <t>SOMALIA</t>
  </si>
  <si>
    <t>SOM</t>
  </si>
  <si>
    <t>ARMENIA</t>
  </si>
  <si>
    <t>ARM</t>
  </si>
  <si>
    <t>LIBYA</t>
  </si>
  <si>
    <t>LBY</t>
  </si>
  <si>
    <t>BURKINA FASO</t>
  </si>
  <si>
    <t>BFA</t>
  </si>
  <si>
    <t>AFGHANISTAN</t>
  </si>
  <si>
    <t>AFG</t>
  </si>
  <si>
    <t>COSTA RICA</t>
  </si>
  <si>
    <t>CRI</t>
  </si>
  <si>
    <t>YEMEN</t>
  </si>
  <si>
    <t>YEM</t>
  </si>
  <si>
    <t>CONGO</t>
  </si>
  <si>
    <t>COG</t>
  </si>
  <si>
    <t>MALAWI</t>
  </si>
  <si>
    <t>MWI</t>
  </si>
  <si>
    <t>SOUTH AFRICA</t>
  </si>
  <si>
    <t>ZAF</t>
  </si>
  <si>
    <t>ZAMBIA</t>
  </si>
  <si>
    <t>ZMB</t>
  </si>
  <si>
    <t>ANGOLA</t>
  </si>
  <si>
    <t>AGO</t>
  </si>
  <si>
    <t>MALI</t>
  </si>
  <si>
    <t>MLI</t>
  </si>
  <si>
    <t>THAILAND</t>
  </si>
  <si>
    <t>THA</t>
  </si>
  <si>
    <t>ALGERIA</t>
  </si>
  <si>
    <t>DZA</t>
  </si>
  <si>
    <t>REPUBLIC OF MOLDOVA</t>
  </si>
  <si>
    <t>MDA</t>
  </si>
  <si>
    <t>BURUNDI</t>
  </si>
  <si>
    <t>BDI</t>
  </si>
  <si>
    <t>NIGERIA</t>
  </si>
  <si>
    <t>NGA</t>
  </si>
  <si>
    <t>DOMINICAN REPUBLIC</t>
  </si>
  <si>
    <t>DOM</t>
  </si>
  <si>
    <t>MALAYSIA</t>
  </si>
  <si>
    <t>MYS</t>
  </si>
  <si>
    <t>RWANDA</t>
  </si>
  <si>
    <t>RWA</t>
  </si>
  <si>
    <t>MAURITANIA</t>
  </si>
  <si>
    <t>MRT</t>
  </si>
  <si>
    <t>BULGARIA</t>
  </si>
  <si>
    <t>BGR</t>
  </si>
  <si>
    <t>ECUADOR</t>
  </si>
  <si>
    <t>ECU</t>
  </si>
  <si>
    <t>MEXICO</t>
  </si>
  <si>
    <t>MEX</t>
  </si>
  <si>
    <t>INDIA</t>
  </si>
  <si>
    <t>IND</t>
  </si>
  <si>
    <t>EGYPT</t>
  </si>
  <si>
    <t>EGY</t>
  </si>
  <si>
    <t>UNITED REPUBLIC OF TANZANIA</t>
  </si>
  <si>
    <t>TZA</t>
  </si>
  <si>
    <t>IRAN (ISLAMIC REPUBLIC OF)</t>
  </si>
  <si>
    <t>Total</t>
  </si>
  <si>
    <t>Refugee GER</t>
  </si>
  <si>
    <t xml:space="preserve"># Refugee Children </t>
  </si>
  <si>
    <t>Per Capita Cost of Inclusive Education (US$)</t>
  </si>
  <si>
    <t>Host Country GER</t>
  </si>
  <si>
    <t>SDG National Benchmarks (2030)</t>
  </si>
  <si>
    <t>KG</t>
  </si>
  <si>
    <t>Primary</t>
  </si>
  <si>
    <t>Lower Secondary</t>
  </si>
  <si>
    <t>Upper Secondary</t>
  </si>
  <si>
    <t>Secondary</t>
  </si>
  <si>
    <t>Refugee GER - Targets</t>
  </si>
  <si>
    <t>Total Refugee Children Reached</t>
  </si>
  <si>
    <t>age_coverage_ref</t>
  </si>
  <si>
    <t>pop_share_prm_ref</t>
  </si>
  <si>
    <t>pop_share_sec_ref</t>
  </si>
  <si>
    <t>lendingcategory</t>
  </si>
  <si>
    <t>pop_share_estimated</t>
  </si>
  <si>
    <t>kg_enrol_2022</t>
  </si>
  <si>
    <t>prm_enrol_2022</t>
  </si>
  <si>
    <t>sec_enrol_2022</t>
  </si>
  <si>
    <t>EAST ASIA &amp; PACIFIC</t>
  </si>
  <si>
    <t>Prm</t>
  </si>
  <si>
    <t>LS</t>
  </si>
  <si>
    <t>US</t>
  </si>
  <si>
    <t>Income Grp</t>
  </si>
  <si>
    <t>LIC</t>
  </si>
  <si>
    <t>LMIC</t>
  </si>
  <si>
    <t>UMIC</t>
  </si>
  <si>
    <t>kg_ref_cost_2022</t>
  </si>
  <si>
    <t>prm_ref_cost_2022</t>
  </si>
  <si>
    <t>sec_ref_cost_2022</t>
  </si>
  <si>
    <t>kg_host_cost_2022</t>
  </si>
  <si>
    <t>prm_host_cost_2022</t>
  </si>
  <si>
    <t>sec_host_cost_2022</t>
  </si>
  <si>
    <t>kg_ref_cost_total</t>
  </si>
  <si>
    <t>prm_ref_cost_total</t>
  </si>
  <si>
    <t>sec_ref_cost_total</t>
  </si>
  <si>
    <t>total_annual_cost</t>
  </si>
  <si>
    <t>Pre-Primary_GER</t>
  </si>
  <si>
    <t>Primary_GER</t>
  </si>
  <si>
    <t>Secondary_GER</t>
  </si>
  <si>
    <t>pub_edu_exp_gdppercent</t>
  </si>
  <si>
    <t>GDP 2020 current US$</t>
  </si>
  <si>
    <t>public_edu_exp</t>
  </si>
  <si>
    <t>ref_cost_pub_exp_ratio</t>
  </si>
  <si>
    <t>Sec</t>
  </si>
  <si>
    <t>Please select country here</t>
  </si>
  <si>
    <t>Country Context</t>
  </si>
  <si>
    <t>Refugee, asylum seeker and VDA population (end 2022)</t>
  </si>
  <si>
    <t>Refugees</t>
  </si>
  <si>
    <t>Asylum seekers</t>
  </si>
  <si>
    <t>Venezuelans displaced abroad</t>
  </si>
  <si>
    <t>Total refugee population</t>
  </si>
  <si>
    <t>Refugees aged 5-11 years</t>
  </si>
  <si>
    <t>Refugees aged 12-17 years</t>
  </si>
  <si>
    <t>Total school-aged refugee children</t>
  </si>
  <si>
    <t>Lending Category</t>
  </si>
  <si>
    <t>Education Outcomes and Targets</t>
  </si>
  <si>
    <t>Pre-primary</t>
  </si>
  <si>
    <t>Refugee Gross Enrollment Ratio</t>
  </si>
  <si>
    <t>Targets for Refugee Enrollment</t>
  </si>
  <si>
    <t>Public Expenditure on Education Per Capita (US$)</t>
  </si>
  <si>
    <t>SDG National Benchmarks for Enrollment (2030)</t>
  </si>
  <si>
    <t>Host Country Gross Enrollment Ratio (latest available year)</t>
  </si>
  <si>
    <t>Standard assumptions of costing model</t>
  </si>
  <si>
    <t>Number of years of education</t>
  </si>
  <si>
    <t>Refugee Coefficients</t>
  </si>
  <si>
    <t>ECCE strengthening</t>
  </si>
  <si>
    <t>Number of refugee children to be enrolled</t>
  </si>
  <si>
    <t>Refugee Education Costs Per Capita (US$)</t>
  </si>
  <si>
    <t>Annual Cost of Inclusive Refugee Education (US$)</t>
  </si>
  <si>
    <t>Summary of Results</t>
  </si>
  <si>
    <t>Row Labels</t>
  </si>
  <si>
    <t>Grand Total</t>
  </si>
  <si>
    <t>Average of Pre-Primary_GER</t>
  </si>
  <si>
    <t>Average of Primary_GER</t>
  </si>
  <si>
    <t>Average of Secondary_GER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</si>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</sst>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theme="1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theme="1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 style="medium">
        <color theme="1"/>
      </right>
      <top style="medium">
        <color theme="1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medium">
        <color theme="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medium">
        <color theme="1"/>
      </right>
      <top/>
      <bottom style="thin">
        <color theme="0"/>
      </bottom>
      <diagonal/>
    </border>
    <border>
      <left style="medium">
        <color theme="1"/>
      </left>
      <right style="thin">
        <color theme="0"/>
      </right>
      <top style="medium">
        <color theme="1"/>
      </top>
      <bottom style="thin">
        <color theme="1"/>
      </bottom>
      <diagonal/>
    </border>
    <border>
      <left style="thin">
        <color theme="0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/>
      <right style="medium">
        <color theme="1"/>
      </right>
      <top style="medium">
        <color theme="1"/>
      </top>
      <bottom style="thin">
        <color theme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1">
    <xf numFmtId="0" fontId="0" fillId="0" borderId="0" xfId="0"/>
    <xf numFmtId="164" fontId="0" fillId="0" borderId="0" xfId="0" applyNumberFormat="1"/>
    <xf numFmtId="1" fontId="0" fillId="0" borderId="0" xfId="0" applyNumberFormat="1"/>
    <xf numFmtId="164" fontId="0" fillId="0" borderId="0" xfId="1" applyNumberFormat="1" applyFont="1"/>
    <xf numFmtId="43" fontId="0" fillId="0" borderId="0" xfId="0" applyNumberFormat="1"/>
    <xf numFmtId="164" fontId="0" fillId="0" borderId="0" xfId="1" applyNumberFormat="1" applyFont="1" applyBorder="1"/>
    <xf numFmtId="2" fontId="0" fillId="0" borderId="0" xfId="0" applyNumberFormat="1"/>
    <xf numFmtId="0" fontId="0" fillId="0" borderId="3" xfId="0" applyBorder="1"/>
    <xf numFmtId="1" fontId="0" fillId="0" borderId="3" xfId="0" applyNumberFormat="1" applyBorder="1"/>
    <xf numFmtId="1" fontId="0" fillId="0" borderId="4" xfId="0" applyNumberFormat="1" applyBorder="1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9" fontId="0" fillId="0" borderId="0" xfId="2" applyFont="1" applyBorder="1"/>
    <xf numFmtId="11" fontId="0" fillId="0" borderId="0" xfId="0" applyNumberFormat="1"/>
    <xf numFmtId="9" fontId="0" fillId="0" borderId="0" xfId="2" applyFont="1"/>
    <xf numFmtId="2" fontId="2" fillId="0" borderId="0" xfId="0" applyNumberFormat="1" applyFont="1" applyAlignment="1">
      <alignment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1" fontId="0" fillId="0" borderId="21" xfId="0" applyNumberFormat="1" applyBorder="1"/>
    <xf numFmtId="1" fontId="0" fillId="0" borderId="22" xfId="0" applyNumberFormat="1" applyBorder="1"/>
    <xf numFmtId="164" fontId="0" fillId="0" borderId="22" xfId="1" applyNumberFormat="1" applyFont="1" applyBorder="1"/>
    <xf numFmtId="1" fontId="0" fillId="0" borderId="20" xfId="0" applyNumberFormat="1" applyBorder="1"/>
    <xf numFmtId="9" fontId="0" fillId="0" borderId="22" xfId="2" applyFont="1" applyBorder="1"/>
    <xf numFmtId="0" fontId="0" fillId="0" borderId="23" xfId="0" applyBorder="1" applyAlignment="1">
      <alignment wrapText="1"/>
    </xf>
    <xf numFmtId="0" fontId="0" fillId="0" borderId="23" xfId="0" applyBorder="1"/>
    <xf numFmtId="0" fontId="0" fillId="0" borderId="24" xfId="0" applyBorder="1"/>
    <xf numFmtId="0" fontId="4" fillId="0" borderId="25" xfId="0" applyFont="1" applyBorder="1"/>
    <xf numFmtId="0" fontId="0" fillId="0" borderId="26" xfId="0" applyBorder="1" applyAlignment="1">
      <alignment wrapText="1"/>
    </xf>
    <xf numFmtId="0" fontId="0" fillId="0" borderId="26" xfId="0" applyBorder="1"/>
    <xf numFmtId="0" fontId="0" fillId="0" borderId="27" xfId="0" applyBorder="1" applyAlignment="1">
      <alignment wrapText="1"/>
    </xf>
    <xf numFmtId="0" fontId="0" fillId="0" borderId="27" xfId="0" applyBorder="1"/>
    <xf numFmtId="0" fontId="0" fillId="0" borderId="29" xfId="0" applyBorder="1" applyAlignment="1">
      <alignment wrapText="1"/>
    </xf>
    <xf numFmtId="0" fontId="0" fillId="5" borderId="28" xfId="0" applyFill="1" applyBorder="1"/>
    <xf numFmtId="0" fontId="0" fillId="0" borderId="25" xfId="0" applyBorder="1"/>
    <xf numFmtId="0" fontId="0" fillId="0" borderId="30" xfId="0" applyBorder="1" applyAlignment="1">
      <alignment wrapText="1"/>
    </xf>
    <xf numFmtId="0" fontId="0" fillId="0" borderId="30" xfId="0" applyBorder="1"/>
    <xf numFmtId="0" fontId="0" fillId="0" borderId="33" xfId="0" applyBorder="1" applyAlignment="1">
      <alignment wrapText="1"/>
    </xf>
    <xf numFmtId="0" fontId="0" fillId="0" borderId="34" xfId="0" applyBorder="1"/>
    <xf numFmtId="164" fontId="0" fillId="0" borderId="34" xfId="1" applyNumberFormat="1" applyFont="1" applyBorder="1"/>
    <xf numFmtId="164" fontId="0" fillId="0" borderId="34" xfId="0" applyNumberFormat="1" applyBorder="1"/>
    <xf numFmtId="0" fontId="0" fillId="0" borderId="33" xfId="0" applyBorder="1"/>
    <xf numFmtId="9" fontId="0" fillId="0" borderId="34" xfId="2" applyFont="1" applyBorder="1"/>
    <xf numFmtId="0" fontId="0" fillId="0" borderId="35" xfId="0" applyBorder="1" applyAlignment="1">
      <alignment wrapText="1"/>
    </xf>
    <xf numFmtId="164" fontId="0" fillId="0" borderId="36" xfId="1" applyNumberFormat="1" applyFont="1" applyBorder="1"/>
    <xf numFmtId="0" fontId="0" fillId="0" borderId="37" xfId="0" applyBorder="1"/>
    <xf numFmtId="9" fontId="0" fillId="2" borderId="34" xfId="2" applyFont="1" applyFill="1" applyBorder="1"/>
    <xf numFmtId="0" fontId="0" fillId="0" borderId="35" xfId="0" applyBorder="1"/>
    <xf numFmtId="9" fontId="0" fillId="2" borderId="36" xfId="2" applyFont="1" applyFill="1" applyBorder="1"/>
    <xf numFmtId="0" fontId="0" fillId="0" borderId="39" xfId="0" applyBorder="1"/>
    <xf numFmtId="0" fontId="3" fillId="0" borderId="38" xfId="0" applyFont="1" applyBorder="1"/>
    <xf numFmtId="0" fontId="3" fillId="0" borderId="33" xfId="0" applyFont="1" applyBorder="1"/>
    <xf numFmtId="164" fontId="3" fillId="6" borderId="36" xfId="1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3" fillId="0" borderId="33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33" xfId="0" applyFont="1" applyBorder="1" applyAlignment="1">
      <alignment horizontal="center" wrapText="1"/>
    </xf>
    <xf numFmtId="0" fontId="3" fillId="0" borderId="34" xfId="0" applyFont="1" applyBorder="1" applyAlignment="1">
      <alignment horizontal="center" wrapText="1"/>
    </xf>
    <xf numFmtId="0" fontId="3" fillId="0" borderId="40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3" fillId="0" borderId="33" xfId="0" applyFont="1" applyBorder="1" applyAlignment="1">
      <alignment horizontal="left" wrapText="1"/>
    </xf>
    <xf numFmtId="0" fontId="3" fillId="0" borderId="34" xfId="0" applyFont="1" applyBorder="1" applyAlignment="1">
      <alignment horizontal="left" wrapText="1"/>
    </xf>
    <xf numFmtId="0" fontId="3" fillId="0" borderId="42" xfId="0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31" xfId="0" applyFont="1" applyBorder="1" applyAlignment="1">
      <alignment horizontal="center" wrapText="1"/>
    </xf>
    <xf numFmtId="0" fontId="3" fillId="0" borderId="32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'Refugee GER'!$L$10</c:f>
              <c:strCache>
                <c:ptCount val="1"/>
                <c:pt idx="0">
                  <c:v>Pre-primary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'Refugee GER'!$K$11:$K$13</c:f>
              <c:strCache>
                <c:ptCount val="3"/>
                <c:pt idx="0">
                  <c:v>LIC</c:v>
                </c:pt>
                <c:pt idx="1">
                  <c:v>LMIC</c:v>
                </c:pt>
                <c:pt idx="2">
                  <c:v>UMIC</c:v>
                </c:pt>
              </c:strCache>
            </c:strRef>
          </c:cat>
          <c:val>
            <c:numRef>
              <c:f>'Refugee GER'!$L$11:$L$13</c:f>
              <c:numCache>
                <c:formatCode>0%</c:formatCode>
                <c:ptCount val="3"/>
                <c:pt idx="0">
                  <c:v>0.32660573452770941</c:v>
                </c:pt>
                <c:pt idx="1">
                  <c:v>0.40243924162763389</c:v>
                </c:pt>
                <c:pt idx="2">
                  <c:v>0.12203477872717432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47-B044-B11A-77A840E6B974}"/>
            </c:ext>
          </c:extLst>
        </c:ser>
        <c:ser>
          <c:idx val="1"/>
          <c:order val="1"/>
          <c:tx>
            <c:strRef>
              <c:f>'Refugee GER'!$M$10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'Refugee GER'!$K$11:$K$13</c:f>
              <c:strCache>
                <c:ptCount val="3"/>
                <c:pt idx="0">
                  <c:v>LIC</c:v>
                </c:pt>
                <c:pt idx="1">
                  <c:v>LMIC</c:v>
                </c:pt>
                <c:pt idx="2">
                  <c:v>UMIC</c:v>
                </c:pt>
              </c:strCache>
            </c:strRef>
          </c:cat>
          <c:val>
            <c:numRef>
              <c:f>'Refugee GER'!$M$11:$M$13</c:f>
              <c:numCache>
                <c:formatCode>0%</c:formatCode>
                <c:ptCount val="3"/>
                <c:pt idx="0">
                  <c:v>0.59828579987712815</c:v>
                </c:pt>
                <c:pt idx="1">
                  <c:v>0.65179214313516221</c:v>
                </c:pt>
                <c:pt idx="2">
                  <c:v>0.59105034207155016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47-B044-B11A-77A840E6B974}"/>
            </c:ext>
          </c:extLst>
        </c:ser>
        <c:ser>
          <c:idx val="2"/>
          <c:order val="2"/>
          <c:tx>
            <c:strRef>
              <c:f>'Refugee GER'!$N$10</c:f>
              <c:strCache>
                <c:ptCount val="1"/>
                <c:pt idx="0">
                  <c:v>Secondary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'Refugee GER'!$K$11:$K$13</c:f>
              <c:strCache>
                <c:ptCount val="3"/>
                <c:pt idx="0">
                  <c:v>LIC</c:v>
                </c:pt>
                <c:pt idx="1">
                  <c:v>LMIC</c:v>
                </c:pt>
                <c:pt idx="2">
                  <c:v>UMIC</c:v>
                </c:pt>
              </c:strCache>
            </c:strRef>
          </c:cat>
          <c:val>
            <c:numRef>
              <c:f>'Refugee GER'!$N$11:$N$13</c:f>
              <c:numCache>
                <c:formatCode>0%</c:formatCode>
                <c:ptCount val="3"/>
                <c:pt idx="0">
                  <c:v>0.26581560118188796</c:v>
                </c:pt>
                <c:pt idx="1">
                  <c:v>0.3484702640783065</c:v>
                </c:pt>
                <c:pt idx="2">
                  <c:v>0.44932944405791697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47-B044-B11A-77A840E6B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1465104"/>
        <c:axId val="1807210160"/>
      </c:barChart>
      <c:catAx>
        <c:axId val="176146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210160"/>
        <c:crosses val="autoZero"/>
        <c:auto val="1"/>
        <c:lblAlgn val="ctr"/>
        <c:lblOffset val="100"/>
        <c:noMultiLvlLbl val="0"/>
      </c:catAx>
      <c:valAx>
        <c:axId val="1807210160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Refugee GER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46510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25400</xdr:colOff>
      <xdr:row>14</xdr:row>
      <xdr:rowOff>25400</xdr:rowOff>
    </xdr:from>
    <xdr:to>
      <xdr:col>12</xdr:col>
      <xdr:colOff>1003300</xdr:colOff>
      <xdr:row>27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F3A5FE-D9CD-F46A-8669-55AF7DAF3D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arishmasilva/Documents/Refugee%20Costing%20Exercise%20-%202023/General%20Govt%20Expenditure%20on%20education,%20%25%20of%20GDP%20(Estimates)_2020.htm" TargetMode="External"/><Relationship Id="rId1" Type="http://schemas.openxmlformats.org/officeDocument/2006/relationships/externalLinkPath" Target="General%20Govt%20Expenditure%20on%20education,%20%25%20of%20GDP%20(Estimates)_2020.ht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arishmasilva/Downloads/API_NY.GDP.MKTP.CD_DS2_en_excel_v2_5994847.xls" TargetMode="External"/><Relationship Id="rId1" Type="http://schemas.openxmlformats.org/officeDocument/2006/relationships/externalLinkPath" Target="/Users/karishmasilva/Downloads/API_NY.GDP.MKTP.CD_DS2_en_excel_v2_5994847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arishmasilva/Documents/Refugee%20Costing%20Exercise%20-%202023/Refugee%20GER.xlsx" TargetMode="External"/><Relationship Id="rId1" Type="http://schemas.openxmlformats.org/officeDocument/2006/relationships/externalLinkPath" Target="Refugee%20G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k1"/>
    </sheetNames>
    <sheetDataSet>
      <sheetData sheetId="0" refreshError="1">
        <row r="3">
          <cell r="A3" t="str">
            <v>MARSHALL ISLANDS</v>
          </cell>
          <cell r="B3">
            <v>15.4841</v>
          </cell>
        </row>
        <row r="4">
          <cell r="A4" t="str">
            <v>SOLOMON ISLANDS</v>
          </cell>
          <cell r="B4">
            <v>12.7522</v>
          </cell>
        </row>
        <row r="5">
          <cell r="A5" t="str">
            <v>CUBA</v>
          </cell>
          <cell r="B5">
            <v>12.732100000000001</v>
          </cell>
        </row>
        <row r="6">
          <cell r="A6" t="str">
            <v>KIRIBATI</v>
          </cell>
          <cell r="B6">
            <v>10.938499999999999</v>
          </cell>
        </row>
        <row r="7">
          <cell r="A7" t="str">
            <v>GREENLAND</v>
          </cell>
          <cell r="B7">
            <v>10.5372</v>
          </cell>
        </row>
        <row r="8">
          <cell r="A8" t="str">
            <v>MICRONESIA, FED. STS.</v>
          </cell>
          <cell r="B8">
            <v>9.7592999999999996</v>
          </cell>
        </row>
        <row r="9">
          <cell r="A9" t="str">
            <v>NAMIBIA</v>
          </cell>
          <cell r="B9">
            <v>9.4468999999999994</v>
          </cell>
        </row>
        <row r="10">
          <cell r="A10" t="str">
            <v>BOLIVIA</v>
          </cell>
          <cell r="B10">
            <v>8.9572000000000003</v>
          </cell>
        </row>
        <row r="11">
          <cell r="A11" t="str">
            <v>SIERRA LEONE</v>
          </cell>
          <cell r="B11">
            <v>8.8095999999999997</v>
          </cell>
        </row>
        <row r="12">
          <cell r="A12" t="str">
            <v>BOTSWANA</v>
          </cell>
          <cell r="B12">
            <v>8.74</v>
          </cell>
        </row>
        <row r="13">
          <cell r="A13" t="str">
            <v>TUNISIA</v>
          </cell>
          <cell r="B13">
            <v>8.2239000000000004</v>
          </cell>
        </row>
        <row r="14">
          <cell r="A14" t="str">
            <v>FAROE ISLANDS</v>
          </cell>
          <cell r="B14">
            <v>8.1922999999999995</v>
          </cell>
        </row>
        <row r="15">
          <cell r="A15" t="str">
            <v>TONGA</v>
          </cell>
          <cell r="B15">
            <v>7.8250000000000002</v>
          </cell>
        </row>
        <row r="16">
          <cell r="A16" t="str">
            <v>SAUDI ARABIA</v>
          </cell>
          <cell r="B16">
            <v>7.8093000000000004</v>
          </cell>
        </row>
        <row r="17">
          <cell r="A17" t="str">
            <v>ICELAND</v>
          </cell>
          <cell r="B17">
            <v>7.72</v>
          </cell>
        </row>
        <row r="18">
          <cell r="A18" t="str">
            <v>LESOTHO</v>
          </cell>
          <cell r="B18">
            <v>7.6694000000000004</v>
          </cell>
        </row>
        <row r="19">
          <cell r="A19" t="str">
            <v>CABO VERDE</v>
          </cell>
          <cell r="B19">
            <v>7.5848000000000004</v>
          </cell>
        </row>
        <row r="20">
          <cell r="A20" t="str">
            <v>BELIZE</v>
          </cell>
          <cell r="B20">
            <v>7.5288000000000004</v>
          </cell>
        </row>
        <row r="21">
          <cell r="A21" t="str">
            <v>SWEDEN</v>
          </cell>
          <cell r="B21">
            <v>7.17</v>
          </cell>
        </row>
        <row r="22">
          <cell r="A22" t="str">
            <v>BELGIUM</v>
          </cell>
          <cell r="B22">
            <v>6.8277000000000001</v>
          </cell>
        </row>
        <row r="23">
          <cell r="A23" t="str">
            <v>MOROCCO</v>
          </cell>
          <cell r="B23">
            <v>6.7542999999999997</v>
          </cell>
        </row>
        <row r="24">
          <cell r="A24" t="str">
            <v>MACAO SAR, CHINA</v>
          </cell>
          <cell r="B24">
            <v>6.7218999999999998</v>
          </cell>
        </row>
        <row r="25">
          <cell r="A25" t="str">
            <v>COSTA RICA</v>
          </cell>
          <cell r="B25">
            <v>6.7107000000000001</v>
          </cell>
        </row>
        <row r="26">
          <cell r="A26" t="str">
            <v>NORTH MACEDONIA</v>
          </cell>
          <cell r="B26">
            <v>6.6809000000000003</v>
          </cell>
        </row>
        <row r="27">
          <cell r="A27" t="str">
            <v>ESTONIA</v>
          </cell>
          <cell r="B27">
            <v>6.58</v>
          </cell>
        </row>
        <row r="28">
          <cell r="A28" t="str">
            <v>KUWAIT</v>
          </cell>
          <cell r="B28">
            <v>6.5513000000000003</v>
          </cell>
        </row>
        <row r="29">
          <cell r="A29" t="str">
            <v>HONDURAS</v>
          </cell>
          <cell r="B29">
            <v>6.4383999999999997</v>
          </cell>
        </row>
        <row r="30">
          <cell r="A30" t="str">
            <v>MOLDOVA</v>
          </cell>
          <cell r="B30">
            <v>6.3887</v>
          </cell>
        </row>
        <row r="31">
          <cell r="A31" t="str">
            <v>DENMARK</v>
          </cell>
          <cell r="B31">
            <v>6.3810000000000002</v>
          </cell>
        </row>
        <row r="32">
          <cell r="A32" t="str">
            <v>ALGERIA</v>
          </cell>
          <cell r="B32">
            <v>6.2880000000000003</v>
          </cell>
        </row>
        <row r="33">
          <cell r="A33" t="str">
            <v>CYPRUS</v>
          </cell>
          <cell r="B33">
            <v>6.2685000000000004</v>
          </cell>
        </row>
        <row r="34">
          <cell r="A34" t="str">
            <v>MOZAMBIQUE</v>
          </cell>
          <cell r="B34">
            <v>6.2606000000000002</v>
          </cell>
        </row>
        <row r="35">
          <cell r="A35" t="str">
            <v>SOUTH AFRICA</v>
          </cell>
          <cell r="B35">
            <v>6.1928999999999998</v>
          </cell>
        </row>
        <row r="36">
          <cell r="A36" t="str">
            <v>YEMEN, REP.</v>
          </cell>
          <cell r="B36">
            <v>6.0846</v>
          </cell>
        </row>
        <row r="37">
          <cell r="A37" t="str">
            <v>PUERTO RICO</v>
          </cell>
          <cell r="B37">
            <v>6.0705</v>
          </cell>
        </row>
        <row r="38">
          <cell r="A38" t="str">
            <v>NEW ZEALAND</v>
          </cell>
          <cell r="B38">
            <v>5.98</v>
          </cell>
        </row>
        <row r="39">
          <cell r="A39" t="str">
            <v>LATVIA</v>
          </cell>
          <cell r="B39">
            <v>5.97</v>
          </cell>
        </row>
        <row r="40">
          <cell r="A40" t="str">
            <v>FINLAND</v>
          </cell>
          <cell r="B40">
            <v>5.88</v>
          </cell>
        </row>
        <row r="41">
          <cell r="A41" t="str">
            <v>MALTA</v>
          </cell>
          <cell r="B41">
            <v>5.87</v>
          </cell>
        </row>
        <row r="42">
          <cell r="A42" t="str">
            <v>ISRAEL</v>
          </cell>
          <cell r="B42">
            <v>5.86</v>
          </cell>
        </row>
        <row r="43">
          <cell r="A43" t="str">
            <v>BHUTAN</v>
          </cell>
          <cell r="B43">
            <v>5.8505000000000003</v>
          </cell>
        </row>
        <row r="44">
          <cell r="A44" t="str">
            <v>OMAN</v>
          </cell>
          <cell r="B44">
            <v>5.8045</v>
          </cell>
        </row>
        <row r="45">
          <cell r="A45" t="str">
            <v>AUSTRALIA</v>
          </cell>
          <cell r="B45">
            <v>5.7973999999999997</v>
          </cell>
        </row>
        <row r="46">
          <cell r="A46" t="str">
            <v>BRAZIL</v>
          </cell>
          <cell r="B46">
            <v>5.7744</v>
          </cell>
        </row>
        <row r="47">
          <cell r="A47" t="str">
            <v>SLOVENIA</v>
          </cell>
          <cell r="B47">
            <v>5.76</v>
          </cell>
        </row>
        <row r="48">
          <cell r="A48" t="str">
            <v>TAJIKISTAN</v>
          </cell>
          <cell r="B48">
            <v>5.7263000000000002</v>
          </cell>
        </row>
        <row r="49">
          <cell r="A49" t="str">
            <v>ST. VINCENT AND THE GRENADINES</v>
          </cell>
          <cell r="B49">
            <v>5.6946000000000003</v>
          </cell>
        </row>
        <row r="50">
          <cell r="A50" t="str">
            <v>CANADA</v>
          </cell>
          <cell r="B50">
            <v>5.6894</v>
          </cell>
        </row>
        <row r="51">
          <cell r="A51" t="str">
            <v>JAMAICA</v>
          </cell>
          <cell r="B51">
            <v>5.6174999999999997</v>
          </cell>
        </row>
        <row r="52">
          <cell r="A52" t="str">
            <v>CHILE</v>
          </cell>
          <cell r="B52">
            <v>5.6003999999999996</v>
          </cell>
        </row>
        <row r="53">
          <cell r="A53" t="str">
            <v>MALDIVES</v>
          </cell>
          <cell r="B53">
            <v>5.5926999999999998</v>
          </cell>
        </row>
        <row r="54">
          <cell r="A54" t="str">
            <v>AUSTRIA</v>
          </cell>
          <cell r="B54">
            <v>5.5896999999999997</v>
          </cell>
        </row>
        <row r="55">
          <cell r="A55" t="str">
            <v>ETHIOPIA</v>
          </cell>
          <cell r="B55">
            <v>5.5762999999999998</v>
          </cell>
        </row>
        <row r="56">
          <cell r="A56" t="str">
            <v>CROATIA</v>
          </cell>
          <cell r="B56">
            <v>5.5404999999999998</v>
          </cell>
        </row>
        <row r="57">
          <cell r="A57" t="str">
            <v>KYRGYZ REPUBLIC</v>
          </cell>
          <cell r="B57">
            <v>5.5317999999999996</v>
          </cell>
        </row>
        <row r="58">
          <cell r="A58" t="str">
            <v>UNITED KINGDOM</v>
          </cell>
          <cell r="B58">
            <v>5.53</v>
          </cell>
        </row>
        <row r="59">
          <cell r="A59" t="str">
            <v>BURKINA FASO</v>
          </cell>
          <cell r="B59">
            <v>5.5190999999999999</v>
          </cell>
        </row>
        <row r="60">
          <cell r="A60" t="str">
            <v>FRANCE</v>
          </cell>
          <cell r="B60">
            <v>5.5038999999999998</v>
          </cell>
        </row>
        <row r="61">
          <cell r="A61" t="str">
            <v>SENEGAL</v>
          </cell>
          <cell r="B61">
            <v>5.4978999999999996</v>
          </cell>
        </row>
        <row r="62">
          <cell r="A62" t="str">
            <v>SYRIAN ARAB REPUBLIC</v>
          </cell>
          <cell r="B62">
            <v>5.4512</v>
          </cell>
        </row>
        <row r="63">
          <cell r="A63" t="str">
            <v>WEST BANK AND GAZA</v>
          </cell>
          <cell r="B63">
            <v>5.3529999999999998</v>
          </cell>
        </row>
        <row r="64">
          <cell r="A64" t="str">
            <v>ESWATINI</v>
          </cell>
          <cell r="B64">
            <v>5.3422999999999998</v>
          </cell>
        </row>
        <row r="65">
          <cell r="A65" t="str">
            <v>ARUBA</v>
          </cell>
          <cell r="B65">
            <v>5.3372999999999999</v>
          </cell>
        </row>
        <row r="66">
          <cell r="A66" t="str">
            <v>NETHERLANDS</v>
          </cell>
          <cell r="B66">
            <v>5.3</v>
          </cell>
        </row>
        <row r="67">
          <cell r="A67" t="str">
            <v>SWITZERLAND</v>
          </cell>
          <cell r="B67">
            <v>5.22</v>
          </cell>
        </row>
        <row r="68">
          <cell r="A68" t="str">
            <v>TIMOR-LESTE</v>
          </cell>
          <cell r="B68">
            <v>5.2194000000000003</v>
          </cell>
        </row>
        <row r="69">
          <cell r="A69" t="str">
            <v>LITHUANIA</v>
          </cell>
          <cell r="B69">
            <v>5.21</v>
          </cell>
        </row>
        <row r="70">
          <cell r="A70" t="str">
            <v>POLAND</v>
          </cell>
          <cell r="B70">
            <v>5.19</v>
          </cell>
        </row>
        <row r="71">
          <cell r="A71" t="str">
            <v>NAURU</v>
          </cell>
          <cell r="B71">
            <v>5.1669999999999998</v>
          </cell>
        </row>
        <row r="72">
          <cell r="A72" t="str">
            <v>SEYCHELLES</v>
          </cell>
          <cell r="B72">
            <v>5.1506999999999996</v>
          </cell>
        </row>
        <row r="73">
          <cell r="A73" t="str">
            <v>ARGENTINA</v>
          </cell>
          <cell r="B73">
            <v>5.0979999999999999</v>
          </cell>
        </row>
        <row r="74">
          <cell r="A74" t="str">
            <v>KENYA</v>
          </cell>
          <cell r="B74">
            <v>5.08</v>
          </cell>
        </row>
        <row r="75">
          <cell r="A75" t="str">
            <v>BURUNDI</v>
          </cell>
          <cell r="B75">
            <v>5.0410000000000004</v>
          </cell>
        </row>
        <row r="76">
          <cell r="A76" t="str">
            <v>SÃO TOMÉ AND PRINCIPE</v>
          </cell>
          <cell r="B76">
            <v>5.0114000000000001</v>
          </cell>
        </row>
        <row r="77">
          <cell r="A77" t="str">
            <v>PORTUGAL</v>
          </cell>
          <cell r="B77">
            <v>5.01</v>
          </cell>
        </row>
        <row r="78">
          <cell r="A78" t="str">
            <v>SURINAME</v>
          </cell>
          <cell r="B78">
            <v>5.0071000000000003</v>
          </cell>
        </row>
        <row r="79">
          <cell r="A79" t="str">
            <v>FIJI</v>
          </cell>
          <cell r="B79">
            <v>4.9821</v>
          </cell>
        </row>
        <row r="80">
          <cell r="A80" t="str">
            <v>LUXEMBOURG</v>
          </cell>
          <cell r="B80">
            <v>4.97</v>
          </cell>
        </row>
        <row r="81">
          <cell r="A81" t="str">
            <v>BELARUS</v>
          </cell>
          <cell r="B81">
            <v>4.9523999999999999</v>
          </cell>
        </row>
        <row r="82">
          <cell r="A82" t="str">
            <v>COLOMBIA</v>
          </cell>
          <cell r="B82">
            <v>4.9330999999999996</v>
          </cell>
        </row>
        <row r="83">
          <cell r="A83" t="str">
            <v>UZBEKISTAN</v>
          </cell>
          <cell r="B83">
            <v>4.9227999999999996</v>
          </cell>
        </row>
        <row r="84">
          <cell r="A84" t="str">
            <v>UNITED STATES</v>
          </cell>
          <cell r="B84">
            <v>4.9016000000000002</v>
          </cell>
        </row>
        <row r="85">
          <cell r="A85" t="str">
            <v>CZECH REPUBLIC</v>
          </cell>
          <cell r="B85">
            <v>4.8963000000000001</v>
          </cell>
        </row>
        <row r="86">
          <cell r="A86" t="str">
            <v>CURAÇAO</v>
          </cell>
          <cell r="B86">
            <v>4.8221999999999996</v>
          </cell>
        </row>
        <row r="87">
          <cell r="A87" t="str">
            <v>SAMOA</v>
          </cell>
          <cell r="B87">
            <v>4.8091999999999997</v>
          </cell>
        </row>
        <row r="88">
          <cell r="A88" t="str">
            <v>HUNGARY</v>
          </cell>
          <cell r="B88">
            <v>4.76</v>
          </cell>
        </row>
        <row r="89">
          <cell r="A89" t="str">
            <v>URUGUAY</v>
          </cell>
          <cell r="B89">
            <v>4.7472000000000003</v>
          </cell>
        </row>
        <row r="90">
          <cell r="A90" t="str">
            <v>MEXICO</v>
          </cell>
          <cell r="B90">
            <v>4.7275</v>
          </cell>
        </row>
        <row r="91">
          <cell r="A91" t="str">
            <v>DOMINICA</v>
          </cell>
          <cell r="B91">
            <v>4.6962999999999999</v>
          </cell>
        </row>
        <row r="92">
          <cell r="A92" t="str">
            <v>GERMANY</v>
          </cell>
          <cell r="B92">
            <v>4.66</v>
          </cell>
        </row>
        <row r="93">
          <cell r="A93" t="str">
            <v>NICARAGUA</v>
          </cell>
          <cell r="B93">
            <v>4.63</v>
          </cell>
        </row>
        <row r="94">
          <cell r="A94" t="str">
            <v>KOSOVO</v>
          </cell>
          <cell r="B94">
            <v>4.6243999999999996</v>
          </cell>
        </row>
        <row r="95">
          <cell r="A95" t="str">
            <v>DOMINICAN REPUBLIC</v>
          </cell>
          <cell r="B95">
            <v>4.6186999999999996</v>
          </cell>
        </row>
        <row r="96">
          <cell r="A96" t="str">
            <v>SLOVAK REPUBLIC</v>
          </cell>
          <cell r="B96">
            <v>4.6100000000000003</v>
          </cell>
        </row>
        <row r="97">
          <cell r="A97" t="str">
            <v>MAURITIUS</v>
          </cell>
          <cell r="B97">
            <v>4.6082000000000001</v>
          </cell>
        </row>
        <row r="98">
          <cell r="A98" t="str">
            <v>SPAIN</v>
          </cell>
          <cell r="B98">
            <v>4.59</v>
          </cell>
        </row>
        <row r="99">
          <cell r="A99" t="str">
            <v>GUYANA</v>
          </cell>
          <cell r="B99">
            <v>4.5811999999999999</v>
          </cell>
        </row>
        <row r="100">
          <cell r="A100" t="str">
            <v>ALBANIA</v>
          </cell>
          <cell r="B100">
            <v>4.4859999999999998</v>
          </cell>
        </row>
        <row r="101">
          <cell r="A101" t="str">
            <v>INDIA</v>
          </cell>
          <cell r="B101">
            <v>4.4741999999999997</v>
          </cell>
        </row>
        <row r="102">
          <cell r="A102" t="str">
            <v>NEPAL</v>
          </cell>
          <cell r="B102">
            <v>4.4629000000000003</v>
          </cell>
        </row>
        <row r="103">
          <cell r="A103" t="str">
            <v>MONGOLIA</v>
          </cell>
          <cell r="B103">
            <v>4.4610000000000003</v>
          </cell>
        </row>
        <row r="104">
          <cell r="A104" t="str">
            <v>CONGO, REP.</v>
          </cell>
          <cell r="B104">
            <v>4.4485999999999999</v>
          </cell>
        </row>
        <row r="105">
          <cell r="A105" t="str">
            <v>KOREA, REP.</v>
          </cell>
          <cell r="B105">
            <v>4.4484000000000004</v>
          </cell>
        </row>
        <row r="106">
          <cell r="A106" t="str">
            <v>GREECE</v>
          </cell>
          <cell r="B106">
            <v>4.4401000000000002</v>
          </cell>
        </row>
        <row r="107">
          <cell r="A107" t="str">
            <v>HONG KONG SAR, CHINA</v>
          </cell>
          <cell r="B107">
            <v>4.4062999999999999</v>
          </cell>
        </row>
        <row r="108">
          <cell r="A108" t="str">
            <v>BULGARIA</v>
          </cell>
          <cell r="B108">
            <v>4.3895</v>
          </cell>
        </row>
        <row r="109">
          <cell r="A109" t="str">
            <v>BRUNEI DARUSSALAM</v>
          </cell>
          <cell r="B109">
            <v>4.3013000000000003</v>
          </cell>
        </row>
        <row r="110">
          <cell r="A110" t="str">
            <v>ITALY</v>
          </cell>
          <cell r="B110">
            <v>4.2699999999999996</v>
          </cell>
        </row>
        <row r="111">
          <cell r="A111" t="str">
            <v>PERU</v>
          </cell>
          <cell r="B111">
            <v>4.2466999999999997</v>
          </cell>
        </row>
        <row r="112">
          <cell r="A112" t="str">
            <v>VIETNAM</v>
          </cell>
          <cell r="B112">
            <v>4.1868999999999996</v>
          </cell>
        </row>
        <row r="113">
          <cell r="A113" t="str">
            <v>ECUADOR</v>
          </cell>
          <cell r="B113">
            <v>4.1341000000000001</v>
          </cell>
        </row>
        <row r="114">
          <cell r="A114" t="str">
            <v>TRINIDAD AND TOBAGO</v>
          </cell>
          <cell r="B114">
            <v>4.1036999999999999</v>
          </cell>
        </row>
        <row r="115">
          <cell r="A115" t="str">
            <v>TOGO</v>
          </cell>
          <cell r="B115">
            <v>3.9912000000000001</v>
          </cell>
        </row>
        <row r="116">
          <cell r="A116" t="str">
            <v>EGYPT, ARAB REP.</v>
          </cell>
          <cell r="B116">
            <v>3.9676</v>
          </cell>
        </row>
        <row r="117">
          <cell r="A117" t="str">
            <v>MALAYSIA</v>
          </cell>
          <cell r="B117">
            <v>3.9169999999999998</v>
          </cell>
        </row>
        <row r="118">
          <cell r="A118" t="str">
            <v>GHANA</v>
          </cell>
          <cell r="B118">
            <v>3.9110999999999998</v>
          </cell>
        </row>
        <row r="119">
          <cell r="A119" t="str">
            <v>PANAMA</v>
          </cell>
          <cell r="B119">
            <v>3.9060999999999999</v>
          </cell>
        </row>
        <row r="120">
          <cell r="A120" t="str">
            <v>ZIMBABWE</v>
          </cell>
          <cell r="B120">
            <v>3.8908999999999998</v>
          </cell>
        </row>
        <row r="121">
          <cell r="A121" t="str">
            <v>PHILIPPINES</v>
          </cell>
          <cell r="B121">
            <v>3.88</v>
          </cell>
        </row>
        <row r="122">
          <cell r="A122" t="str">
            <v>UNITED ARAB EMIRATES</v>
          </cell>
          <cell r="B122">
            <v>3.8799000000000001</v>
          </cell>
        </row>
        <row r="123">
          <cell r="A123" t="str">
            <v>GEORGIA</v>
          </cell>
          <cell r="B123">
            <v>3.8500999999999999</v>
          </cell>
        </row>
        <row r="124">
          <cell r="A124" t="str">
            <v>NIGER</v>
          </cell>
          <cell r="B124">
            <v>3.8376000000000001</v>
          </cell>
        </row>
        <row r="125">
          <cell r="A125" t="str">
            <v>MALI</v>
          </cell>
          <cell r="B125">
            <v>3.7633999999999999</v>
          </cell>
        </row>
        <row r="126">
          <cell r="A126" t="str">
            <v>RUSSIAN FEDERATION</v>
          </cell>
          <cell r="B126">
            <v>3.73</v>
          </cell>
        </row>
        <row r="127">
          <cell r="A127" t="str">
            <v>ZAMBIA</v>
          </cell>
          <cell r="B127">
            <v>3.7023999999999999</v>
          </cell>
        </row>
        <row r="128">
          <cell r="A128" t="str">
            <v>ROMANIA</v>
          </cell>
          <cell r="B128">
            <v>3.69</v>
          </cell>
        </row>
        <row r="129">
          <cell r="A129" t="str">
            <v>DJIBOUTI</v>
          </cell>
          <cell r="B129">
            <v>3.6509999999999998</v>
          </cell>
        </row>
        <row r="130">
          <cell r="A130" t="str">
            <v>SAN MARINO</v>
          </cell>
          <cell r="B130">
            <v>3.6240000000000001</v>
          </cell>
        </row>
        <row r="131">
          <cell r="A131" t="str">
            <v>IRAN, ISLAMIC REP.</v>
          </cell>
          <cell r="B131">
            <v>3.5924</v>
          </cell>
        </row>
        <row r="132">
          <cell r="A132" t="str">
            <v>ST. LUCIA</v>
          </cell>
          <cell r="B132">
            <v>3.5752000000000002</v>
          </cell>
        </row>
        <row r="133">
          <cell r="A133" t="str">
            <v>SERBIA</v>
          </cell>
          <cell r="B133">
            <v>3.5552999999999999</v>
          </cell>
        </row>
        <row r="134">
          <cell r="A134" t="str">
            <v>GRENADA</v>
          </cell>
          <cell r="B134">
            <v>3.5531000000000001</v>
          </cell>
        </row>
        <row r="135">
          <cell r="A135" t="str">
            <v>CHINA</v>
          </cell>
          <cell r="B135">
            <v>3.5430000000000001</v>
          </cell>
        </row>
        <row r="136">
          <cell r="A136" t="str">
            <v>EL SALVADOR</v>
          </cell>
          <cell r="B136">
            <v>3.4893000000000001</v>
          </cell>
        </row>
        <row r="137">
          <cell r="A137" t="str">
            <v>ANTIGUA AND BARBUDA</v>
          </cell>
          <cell r="B137">
            <v>3.4531000000000001</v>
          </cell>
        </row>
        <row r="138">
          <cell r="A138" t="str">
            <v>CÔTE D'IVOIRE</v>
          </cell>
          <cell r="B138">
            <v>3.4430000000000001</v>
          </cell>
        </row>
        <row r="139">
          <cell r="A139" t="str">
            <v>JAPAN</v>
          </cell>
          <cell r="B139">
            <v>3.42</v>
          </cell>
        </row>
        <row r="140">
          <cell r="A140" t="str">
            <v>ANDORRA</v>
          </cell>
          <cell r="B140">
            <v>3.3782999999999999</v>
          </cell>
        </row>
        <row r="141">
          <cell r="A141" t="str">
            <v>TURKEY</v>
          </cell>
          <cell r="B141">
            <v>3.36</v>
          </cell>
        </row>
        <row r="142">
          <cell r="A142" t="str">
            <v>RWANDA</v>
          </cell>
          <cell r="B142">
            <v>3.3304999999999998</v>
          </cell>
        </row>
        <row r="143">
          <cell r="A143" t="str">
            <v>PARAGUAY</v>
          </cell>
          <cell r="B143">
            <v>3.3035999999999999</v>
          </cell>
        </row>
        <row r="144">
          <cell r="A144" t="str">
            <v>GUATEMALA</v>
          </cell>
          <cell r="B144">
            <v>3.2997000000000001</v>
          </cell>
        </row>
        <row r="145">
          <cell r="A145" t="str">
            <v>TURKS AND CAICOS ISLANDS</v>
          </cell>
          <cell r="B145">
            <v>3.2705000000000002</v>
          </cell>
        </row>
        <row r="146">
          <cell r="A146" t="str">
            <v>QATAR</v>
          </cell>
          <cell r="B146">
            <v>3.2336999999999998</v>
          </cell>
        </row>
        <row r="147">
          <cell r="A147" t="str">
            <v>TANZANIA</v>
          </cell>
          <cell r="B147">
            <v>3.2252000000000001</v>
          </cell>
        </row>
        <row r="148">
          <cell r="A148" t="str">
            <v>GABON</v>
          </cell>
          <cell r="B148">
            <v>3.1816</v>
          </cell>
        </row>
        <row r="149">
          <cell r="A149" t="str">
            <v>CAMEROON</v>
          </cell>
          <cell r="B149">
            <v>3.1661999999999999</v>
          </cell>
        </row>
        <row r="150">
          <cell r="A150" t="str">
            <v>IRELAND</v>
          </cell>
          <cell r="B150">
            <v>3.1</v>
          </cell>
        </row>
        <row r="151">
          <cell r="A151" t="str">
            <v>THAILAND</v>
          </cell>
          <cell r="B151">
            <v>3.0964999999999998</v>
          </cell>
        </row>
        <row r="152">
          <cell r="A152" t="str">
            <v>MADAGASCAR</v>
          </cell>
          <cell r="B152">
            <v>3.0956999999999999</v>
          </cell>
        </row>
        <row r="153">
          <cell r="A153" t="str">
            <v>LAO PDR</v>
          </cell>
          <cell r="B153">
            <v>3.07</v>
          </cell>
        </row>
        <row r="154">
          <cell r="A154" t="str">
            <v>TURKMENISTAN</v>
          </cell>
          <cell r="B154">
            <v>3.0678999999999998</v>
          </cell>
        </row>
        <row r="155">
          <cell r="A155" t="str">
            <v>BARBADOS</v>
          </cell>
          <cell r="B155">
            <v>3.0581999999999998</v>
          </cell>
        </row>
        <row r="156">
          <cell r="A156" t="str">
            <v>AFGHANISTAN</v>
          </cell>
          <cell r="B156">
            <v>3.0348000000000002</v>
          </cell>
        </row>
        <row r="157">
          <cell r="A157" t="str">
            <v>BENIN</v>
          </cell>
          <cell r="B157">
            <v>3.0036999999999998</v>
          </cell>
        </row>
        <row r="158">
          <cell r="A158" t="str">
            <v>JORDAN</v>
          </cell>
          <cell r="B158">
            <v>2.9379</v>
          </cell>
        </row>
        <row r="159">
          <cell r="A159" t="str">
            <v>CHAD</v>
          </cell>
          <cell r="B159">
            <v>2.9085000000000001</v>
          </cell>
        </row>
        <row r="160">
          <cell r="A160" t="str">
            <v>MALAWI</v>
          </cell>
          <cell r="B160">
            <v>2.9076</v>
          </cell>
        </row>
        <row r="161">
          <cell r="A161" t="str">
            <v>INDONESIA</v>
          </cell>
          <cell r="B161">
            <v>2.8149999999999999</v>
          </cell>
        </row>
        <row r="162">
          <cell r="A162" t="str">
            <v>KAZAKHSTAN</v>
          </cell>
          <cell r="B162">
            <v>2.8086000000000002</v>
          </cell>
        </row>
        <row r="163">
          <cell r="A163" t="str">
            <v>GAMBIA, THE</v>
          </cell>
          <cell r="B163">
            <v>2.7637</v>
          </cell>
        </row>
        <row r="164">
          <cell r="A164" t="str">
            <v>GUINEA-BISSAU</v>
          </cell>
          <cell r="B164">
            <v>2.7084000000000001</v>
          </cell>
        </row>
        <row r="165">
          <cell r="A165" t="str">
            <v>ARMENIA</v>
          </cell>
          <cell r="B165">
            <v>2.7057000000000002</v>
          </cell>
        </row>
        <row r="166">
          <cell r="A166" t="str">
            <v>AZERBAIJAN</v>
          </cell>
          <cell r="B166">
            <v>2.6356999999999999</v>
          </cell>
        </row>
        <row r="167">
          <cell r="A167" t="str">
            <v>LIECHTENSTEIN</v>
          </cell>
          <cell r="B167">
            <v>2.6276000000000002</v>
          </cell>
        </row>
        <row r="168">
          <cell r="A168" t="str">
            <v>BRITISH VIRGIN ISLANDS</v>
          </cell>
          <cell r="B168">
            <v>2.5905</v>
          </cell>
        </row>
        <row r="169">
          <cell r="A169" t="str">
            <v>UGANDA</v>
          </cell>
          <cell r="B169">
            <v>2.5863</v>
          </cell>
        </row>
        <row r="170">
          <cell r="A170" t="str">
            <v>PAKISTAN</v>
          </cell>
          <cell r="B170">
            <v>2.5847000000000002</v>
          </cell>
        </row>
        <row r="171">
          <cell r="A171" t="str">
            <v>ST. KITTS AND NEVIS</v>
          </cell>
          <cell r="B171">
            <v>2.5779999999999998</v>
          </cell>
        </row>
        <row r="172">
          <cell r="A172" t="str">
            <v>COMOROS</v>
          </cell>
          <cell r="B172">
            <v>2.5689000000000002</v>
          </cell>
        </row>
        <row r="173">
          <cell r="A173" t="str">
            <v>SINGAPORE</v>
          </cell>
          <cell r="B173">
            <v>2.5066999999999999</v>
          </cell>
        </row>
        <row r="174">
          <cell r="A174" t="str">
            <v>UKRAINE</v>
          </cell>
          <cell r="B174">
            <v>2.4195000000000002</v>
          </cell>
        </row>
        <row r="175">
          <cell r="A175" t="str">
            <v>ANGOLA</v>
          </cell>
          <cell r="B175">
            <v>2.4152</v>
          </cell>
        </row>
        <row r="176">
          <cell r="A176" t="str">
            <v>BAHAMAS, THE</v>
          </cell>
          <cell r="B176">
            <v>2.3713000000000002</v>
          </cell>
        </row>
        <row r="177">
          <cell r="A177" t="str">
            <v>LIBERIA</v>
          </cell>
          <cell r="B177">
            <v>2.3092999999999999</v>
          </cell>
        </row>
        <row r="178">
          <cell r="A178" t="str">
            <v>VANUATU</v>
          </cell>
          <cell r="B178">
            <v>2.2423000000000002</v>
          </cell>
        </row>
        <row r="179">
          <cell r="A179" t="str">
            <v>MYANMAR</v>
          </cell>
          <cell r="B179">
            <v>2.2057000000000002</v>
          </cell>
        </row>
        <row r="180">
          <cell r="A180" t="str">
            <v>GUINEA</v>
          </cell>
          <cell r="B180">
            <v>2.1995</v>
          </cell>
        </row>
        <row r="181">
          <cell r="A181" t="str">
            <v>CAMBODIA</v>
          </cell>
          <cell r="B181">
            <v>2.1766999999999999</v>
          </cell>
        </row>
        <row r="182">
          <cell r="A182" t="str">
            <v>CENTRAL AFRICAN REPUBLIC</v>
          </cell>
          <cell r="B182">
            <v>2.1667000000000001</v>
          </cell>
        </row>
        <row r="183">
          <cell r="A183" t="str">
            <v>BAHRAIN</v>
          </cell>
          <cell r="B183">
            <v>2.1520999999999999</v>
          </cell>
        </row>
        <row r="184">
          <cell r="A184" t="str">
            <v>SRI LANKA</v>
          </cell>
          <cell r="B184">
            <v>2.1490999999999998</v>
          </cell>
        </row>
        <row r="185">
          <cell r="A185" t="str">
            <v>SUDAN</v>
          </cell>
          <cell r="B185">
            <v>2.1486999999999998</v>
          </cell>
        </row>
        <row r="186">
          <cell r="A186" t="str">
            <v>MAURITANIA</v>
          </cell>
          <cell r="B186">
            <v>1.8812</v>
          </cell>
        </row>
        <row r="187">
          <cell r="A187" t="str">
            <v>SOUTH SUDAN</v>
          </cell>
          <cell r="B187">
            <v>1.8656999999999999</v>
          </cell>
        </row>
        <row r="188">
          <cell r="A188" t="str">
            <v>HAITI</v>
          </cell>
          <cell r="B188">
            <v>1.7955000000000001</v>
          </cell>
        </row>
        <row r="189">
          <cell r="A189" t="str">
            <v>CONGO, DEM. REP.</v>
          </cell>
          <cell r="B189">
            <v>1.6756</v>
          </cell>
        </row>
        <row r="190">
          <cell r="A190" t="str">
            <v>VENEZUELA, RB</v>
          </cell>
          <cell r="B190">
            <v>1.3647</v>
          </cell>
        </row>
        <row r="191">
          <cell r="A191" t="str">
            <v>BERMUDA</v>
          </cell>
          <cell r="B191">
            <v>1.3571</v>
          </cell>
        </row>
        <row r="192">
          <cell r="A192" t="str">
            <v>PAPUA NEW GUINEA</v>
          </cell>
          <cell r="B192">
            <v>1.35</v>
          </cell>
        </row>
        <row r="193">
          <cell r="A193" t="str">
            <v>BANGLADESH</v>
          </cell>
          <cell r="B193">
            <v>1.2891999999999999</v>
          </cell>
        </row>
        <row r="194">
          <cell r="A194" t="str">
            <v>MONACO</v>
          </cell>
          <cell r="B194">
            <v>1.236</v>
          </cell>
        </row>
        <row r="195">
          <cell r="A195" t="str">
            <v>SOMALIA</v>
          </cell>
          <cell r="B195">
            <v>0.25409999999999999</v>
          </cell>
        </row>
        <row r="196">
          <cell r="A196" t="str">
            <v>AMERICAN SAMOA</v>
          </cell>
        </row>
        <row r="197">
          <cell r="A197" t="str">
            <v>BOSNIA AND HERZEGOVINA</v>
          </cell>
        </row>
        <row r="198">
          <cell r="A198" t="str">
            <v>CHANNEL ISLANDS</v>
          </cell>
        </row>
        <row r="199">
          <cell r="A199" t="str">
            <v>CAYMAN ISLANDS</v>
          </cell>
        </row>
        <row r="200">
          <cell r="A200" t="str">
            <v>ERITREA</v>
          </cell>
        </row>
        <row r="201">
          <cell r="A201" t="str">
            <v>GIBRALTAR</v>
          </cell>
        </row>
        <row r="202">
          <cell r="A202" t="str">
            <v>EQUATORIAL GUINEA</v>
          </cell>
        </row>
        <row r="203">
          <cell r="A203" t="str">
            <v>GUAM</v>
          </cell>
        </row>
        <row r="204">
          <cell r="A204" t="str">
            <v>ISLE OF MAN</v>
          </cell>
        </row>
        <row r="205">
          <cell r="A205" t="str">
            <v>IRAQ</v>
          </cell>
        </row>
        <row r="206">
          <cell r="A206" t="str">
            <v>LEBANON</v>
          </cell>
        </row>
        <row r="207">
          <cell r="A207" t="str">
            <v>LIBYA</v>
          </cell>
        </row>
        <row r="208">
          <cell r="A208" t="str">
            <v>ST. MARTIN (FRENCH PART)</v>
          </cell>
        </row>
        <row r="209">
          <cell r="A209" t="str">
            <v>MONTENEGRO</v>
          </cell>
        </row>
        <row r="210">
          <cell r="A210" t="str">
            <v>NORTHERN MARIANA ISLANDS</v>
          </cell>
        </row>
        <row r="211">
          <cell r="A211" t="str">
            <v>NEW CALEDONIA</v>
          </cell>
        </row>
        <row r="212">
          <cell r="A212" t="str">
            <v>NIGERIA</v>
          </cell>
        </row>
        <row r="213">
          <cell r="A213" t="str">
            <v>NORWAY</v>
          </cell>
        </row>
        <row r="214">
          <cell r="A214" t="str">
            <v>PALAU</v>
          </cell>
        </row>
        <row r="215">
          <cell r="A215" t="str">
            <v>KOREA, DEM. PEOPLE'S REP.</v>
          </cell>
        </row>
        <row r="216">
          <cell r="A216" t="str">
            <v>FRENCH POLYNESIA</v>
          </cell>
        </row>
        <row r="217">
          <cell r="A217" t="str">
            <v>SINT MAARTEN (DUTCH PART)</v>
          </cell>
        </row>
        <row r="218">
          <cell r="A218" t="str">
            <v>TUVALU</v>
          </cell>
        </row>
        <row r="219">
          <cell r="A219" t="str">
            <v>TAIWAN, CHINA</v>
          </cell>
        </row>
        <row r="220">
          <cell r="A220" t="str">
            <v>VIRGIN ISLANDS (U.S.)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Metadata - Countries"/>
      <sheetName val="Metadata - Indicators"/>
    </sheetNames>
    <sheetDataSet>
      <sheetData sheetId="0" refreshError="1">
        <row r="5">
          <cell r="B5" t="str">
            <v>ABW</v>
          </cell>
          <cell r="C5" t="str">
            <v>GDP (current US$)</v>
          </cell>
          <cell r="D5" t="str">
            <v>NY.GDP.MKTP.CD</v>
          </cell>
          <cell r="AE5">
            <v>405586592.17877096</v>
          </cell>
          <cell r="AF5">
            <v>487709497.2067039</v>
          </cell>
          <cell r="AG5">
            <v>596648044.69273746</v>
          </cell>
          <cell r="AH5">
            <v>695530726.25698328</v>
          </cell>
          <cell r="AI5">
            <v>764804469.27374303</v>
          </cell>
          <cell r="AJ5">
            <v>872067039.10614526</v>
          </cell>
          <cell r="AK5">
            <v>958659217.87709498</v>
          </cell>
          <cell r="AL5">
            <v>1083240223.4636872</v>
          </cell>
          <cell r="AM5">
            <v>1245810055.8659217</v>
          </cell>
          <cell r="AN5">
            <v>1320670391.0614524</v>
          </cell>
          <cell r="AO5">
            <v>1379888268.1564245</v>
          </cell>
          <cell r="AP5">
            <v>1531843575.4189944</v>
          </cell>
          <cell r="AQ5">
            <v>1665363128.4916201</v>
          </cell>
          <cell r="AR5">
            <v>1722905027.9329607</v>
          </cell>
          <cell r="AS5">
            <v>1873184357.5418994</v>
          </cell>
          <cell r="AT5">
            <v>1896648044.6927373</v>
          </cell>
          <cell r="AU5">
            <v>1962011173.1843574</v>
          </cell>
          <cell r="AV5">
            <v>2044134078.2122905</v>
          </cell>
          <cell r="AW5">
            <v>2254748603.3519554</v>
          </cell>
          <cell r="AX5">
            <v>2359776536.312849</v>
          </cell>
          <cell r="AY5">
            <v>2469832402.2346368</v>
          </cell>
          <cell r="AZ5">
            <v>2677653631.2849159</v>
          </cell>
          <cell r="BA5">
            <v>2843016759.7765365</v>
          </cell>
          <cell r="BB5">
            <v>2553631284.9162011</v>
          </cell>
          <cell r="BC5">
            <v>2453631284.9162011</v>
          </cell>
          <cell r="BD5">
            <v>2637988826.8156424</v>
          </cell>
          <cell r="BE5">
            <v>2615083798.8826814</v>
          </cell>
          <cell r="BF5">
            <v>2727932960.8938546</v>
          </cell>
          <cell r="BG5">
            <v>2791061452.5139666</v>
          </cell>
          <cell r="BH5">
            <v>2963128491.6201115</v>
          </cell>
          <cell r="BI5">
            <v>2983798882.6815643</v>
          </cell>
          <cell r="BJ5">
            <v>3092178770.9497204</v>
          </cell>
          <cell r="BK5">
            <v>3276187709.4972067</v>
          </cell>
          <cell r="BL5">
            <v>3395793854.7486033</v>
          </cell>
          <cell r="BM5">
            <v>2610038938.5474858</v>
          </cell>
        </row>
        <row r="6">
          <cell r="B6" t="str">
            <v>AFE</v>
          </cell>
          <cell r="C6" t="str">
            <v>GDP (current US$)</v>
          </cell>
          <cell r="D6" t="str">
            <v>NY.GDP.MKTP.CD</v>
          </cell>
          <cell r="E6">
            <v>21125015452.19735</v>
          </cell>
          <cell r="F6">
            <v>21616228139.03751</v>
          </cell>
          <cell r="G6">
            <v>23506279899.96653</v>
          </cell>
          <cell r="H6">
            <v>28048360188.278782</v>
          </cell>
          <cell r="I6">
            <v>25920665259.890041</v>
          </cell>
          <cell r="J6">
            <v>29472103269.741936</v>
          </cell>
          <cell r="K6">
            <v>32014368121.371735</v>
          </cell>
          <cell r="L6">
            <v>33269509510.4599</v>
          </cell>
          <cell r="M6">
            <v>36327785494.927711</v>
          </cell>
          <cell r="N6">
            <v>41638967621.000717</v>
          </cell>
          <cell r="O6">
            <v>44629891648.970383</v>
          </cell>
          <cell r="P6">
            <v>49173371528.940857</v>
          </cell>
          <cell r="Q6">
            <v>53123459911.650459</v>
          </cell>
          <cell r="R6">
            <v>69482723443.653809</v>
          </cell>
          <cell r="S6">
            <v>85380645042.24379</v>
          </cell>
          <cell r="T6">
            <v>90835426418.475723</v>
          </cell>
          <cell r="U6">
            <v>90212747243.322067</v>
          </cell>
          <cell r="V6">
            <v>102240575582.94492</v>
          </cell>
          <cell r="W6">
            <v>116084638702.25113</v>
          </cell>
          <cell r="X6">
            <v>134256827127.36172</v>
          </cell>
          <cell r="Y6">
            <v>171217790780.75711</v>
          </cell>
          <cell r="Z6">
            <v>175859256874.35895</v>
          </cell>
          <cell r="AA6">
            <v>168095657215.22992</v>
          </cell>
          <cell r="AB6">
            <v>175564912386.05344</v>
          </cell>
          <cell r="AC6">
            <v>160646748724.36038</v>
          </cell>
          <cell r="AD6">
            <v>136759437909.94936</v>
          </cell>
          <cell r="AE6">
            <v>153050335915.69315</v>
          </cell>
          <cell r="AF6">
            <v>186658478814.25958</v>
          </cell>
          <cell r="AG6">
            <v>204765985926.27774</v>
          </cell>
          <cell r="AH6">
            <v>218241607366.27008</v>
          </cell>
          <cell r="AI6">
            <v>254062093241.87143</v>
          </cell>
          <cell r="AJ6">
            <v>276856728335.50085</v>
          </cell>
          <cell r="AK6">
            <v>246088124935.71817</v>
          </cell>
          <cell r="AL6">
            <v>242926405780.18802</v>
          </cell>
          <cell r="AM6">
            <v>239610677916.94904</v>
          </cell>
          <cell r="AN6">
            <v>270327154574.64395</v>
          </cell>
          <cell r="AO6">
            <v>269490833464.81631</v>
          </cell>
          <cell r="AP6">
            <v>283446224788.41309</v>
          </cell>
          <cell r="AQ6">
            <v>266652333830.50742</v>
          </cell>
          <cell r="AR6">
            <v>263024788889.78769</v>
          </cell>
          <cell r="AS6">
            <v>284759318602.86572</v>
          </cell>
          <cell r="AT6">
            <v>259643121973.10178</v>
          </cell>
          <cell r="AU6">
            <v>266529432166.37723</v>
          </cell>
          <cell r="AV6">
            <v>354176768091.4068</v>
          </cell>
          <cell r="AW6">
            <v>440481795990.95001</v>
          </cell>
          <cell r="AX6">
            <v>513941625353.72992</v>
          </cell>
          <cell r="AY6">
            <v>577586931666.75159</v>
          </cell>
          <cell r="AZ6">
            <v>662868036074.34888</v>
          </cell>
          <cell r="BA6">
            <v>710536227816.53748</v>
          </cell>
          <cell r="BB6">
            <v>721901168421.27954</v>
          </cell>
          <cell r="BC6">
            <v>863519541417.77429</v>
          </cell>
          <cell r="BD6">
            <v>967824566958.79102</v>
          </cell>
          <cell r="BE6">
            <v>975354777362.36792</v>
          </cell>
          <cell r="BF6">
            <v>985987130726.70142</v>
          </cell>
          <cell r="BG6">
            <v>1006526390112.8292</v>
          </cell>
          <cell r="BH6">
            <v>927348469903.11536</v>
          </cell>
          <cell r="BI6">
            <v>885176429223.50879</v>
          </cell>
          <cell r="BJ6">
            <v>1021043200767.0063</v>
          </cell>
          <cell r="BK6">
            <v>1007196197587.4084</v>
          </cell>
          <cell r="BL6">
            <v>1000834077088.5531</v>
          </cell>
          <cell r="BM6">
            <v>927593321647.66418</v>
          </cell>
        </row>
        <row r="7">
          <cell r="B7" t="str">
            <v>AFG</v>
          </cell>
          <cell r="C7" t="str">
            <v>GDP (current US$)</v>
          </cell>
          <cell r="D7" t="str">
            <v>NY.GDP.MKTP.CD</v>
          </cell>
          <cell r="E7">
            <v>537777811.11111116</v>
          </cell>
          <cell r="F7">
            <v>548888895.55555558</v>
          </cell>
          <cell r="G7">
            <v>546666677.77777779</v>
          </cell>
          <cell r="H7">
            <v>751111191.11111104</v>
          </cell>
          <cell r="I7">
            <v>800000044.44444442</v>
          </cell>
          <cell r="J7">
            <v>1006666637.7777778</v>
          </cell>
          <cell r="K7">
            <v>1399999966.6666667</v>
          </cell>
          <cell r="L7">
            <v>1673333417.7777777</v>
          </cell>
          <cell r="M7">
            <v>1373333366.6666667</v>
          </cell>
          <cell r="N7">
            <v>1408888922.2222223</v>
          </cell>
          <cell r="O7">
            <v>1748886595.5555556</v>
          </cell>
          <cell r="P7">
            <v>1831108971.1111112</v>
          </cell>
          <cell r="Q7">
            <v>1595555475.5555556</v>
          </cell>
          <cell r="R7">
            <v>1733333264.4444444</v>
          </cell>
          <cell r="S7">
            <v>2155555497.7777777</v>
          </cell>
          <cell r="T7">
            <v>2366666615.5555553</v>
          </cell>
          <cell r="U7">
            <v>2555555566.6666665</v>
          </cell>
          <cell r="V7">
            <v>2953333417.7777777</v>
          </cell>
          <cell r="W7">
            <v>3300000108.8888888</v>
          </cell>
          <cell r="X7">
            <v>3697940409.6109838</v>
          </cell>
          <cell r="Y7">
            <v>3641723321.9954648</v>
          </cell>
          <cell r="Z7">
            <v>3478787909.090909</v>
          </cell>
          <cell r="AU7">
            <v>3854235264.3717074</v>
          </cell>
          <cell r="AV7">
            <v>4539496562.9537268</v>
          </cell>
          <cell r="AW7">
            <v>5220825048.6463661</v>
          </cell>
          <cell r="AX7">
            <v>6226198934.8332949</v>
          </cell>
          <cell r="AY7">
            <v>6971383338.7080297</v>
          </cell>
          <cell r="AZ7">
            <v>9715765105.4801636</v>
          </cell>
          <cell r="BA7">
            <v>10249770318.5697</v>
          </cell>
          <cell r="BB7">
            <v>12154835707.898659</v>
          </cell>
          <cell r="BC7">
            <v>15633843661.805069</v>
          </cell>
          <cell r="BD7">
            <v>18190413831.903652</v>
          </cell>
          <cell r="BE7">
            <v>20203572959.502293</v>
          </cell>
          <cell r="BF7">
            <v>20564485419.168434</v>
          </cell>
          <cell r="BG7">
            <v>20550582746.844841</v>
          </cell>
          <cell r="BH7">
            <v>19998143635.872986</v>
          </cell>
          <cell r="BI7">
            <v>18019554403.450321</v>
          </cell>
          <cell r="BJ7">
            <v>18896353155.883923</v>
          </cell>
          <cell r="BK7">
            <v>18418860354.423775</v>
          </cell>
          <cell r="BL7">
            <v>18904502222.210789</v>
          </cell>
          <cell r="BM7">
            <v>20143451705.754845</v>
          </cell>
        </row>
        <row r="8">
          <cell r="B8" t="str">
            <v>AFW</v>
          </cell>
          <cell r="C8" t="str">
            <v>GDP (current US$)</v>
          </cell>
          <cell r="D8" t="str">
            <v>NY.GDP.MKTP.CD</v>
          </cell>
          <cell r="E8">
            <v>10447637852.918215</v>
          </cell>
          <cell r="F8">
            <v>11173212080.394047</v>
          </cell>
          <cell r="G8">
            <v>11990534017.872967</v>
          </cell>
          <cell r="H8">
            <v>12727688165.450535</v>
          </cell>
          <cell r="I8">
            <v>13898109284.017984</v>
          </cell>
          <cell r="J8">
            <v>14929792387.515064</v>
          </cell>
          <cell r="K8">
            <v>15910837741.967787</v>
          </cell>
          <cell r="L8">
            <v>14510579888.720743</v>
          </cell>
          <cell r="M8">
            <v>14968235781.964382</v>
          </cell>
          <cell r="N8">
            <v>16979315745.391426</v>
          </cell>
          <cell r="O8">
            <v>23596163865.318218</v>
          </cell>
          <cell r="P8">
            <v>20936358634.327389</v>
          </cell>
          <cell r="Q8">
            <v>25386169423.278336</v>
          </cell>
          <cell r="R8">
            <v>31975594564.711926</v>
          </cell>
          <cell r="S8">
            <v>44416677334.56736</v>
          </cell>
          <cell r="T8">
            <v>51667190241.549553</v>
          </cell>
          <cell r="U8">
            <v>62351622299.609756</v>
          </cell>
          <cell r="V8">
            <v>65595122955.594925</v>
          </cell>
          <cell r="W8">
            <v>71496496574.327881</v>
          </cell>
          <cell r="X8">
            <v>88948338390.393585</v>
          </cell>
          <cell r="Y8">
            <v>112439126385.11089</v>
          </cell>
          <cell r="Z8">
            <v>211338060014.60516</v>
          </cell>
          <cell r="AA8">
            <v>187448724919.92706</v>
          </cell>
          <cell r="AB8">
            <v>138384182006.54758</v>
          </cell>
          <cell r="AC8">
            <v>114516348920.80019</v>
          </cell>
          <cell r="AD8">
            <v>116776995132.66508</v>
          </cell>
          <cell r="AE8">
            <v>107886511308.91838</v>
          </cell>
          <cell r="AF8">
            <v>110728825941.6006</v>
          </cell>
          <cell r="AG8">
            <v>109438851253.75372</v>
          </cell>
          <cell r="AH8">
            <v>102254998562.58362</v>
          </cell>
          <cell r="AI8">
            <v>122387353859.46112</v>
          </cell>
          <cell r="AJ8">
            <v>118039698015.64056</v>
          </cell>
          <cell r="AK8">
            <v>118893094121.78972</v>
          </cell>
          <cell r="AL8">
            <v>99272180411.250305</v>
          </cell>
          <cell r="AM8">
            <v>86636400265.836258</v>
          </cell>
          <cell r="AN8">
            <v>108690885030.35641</v>
          </cell>
          <cell r="AO8">
            <v>126287285162.71156</v>
          </cell>
          <cell r="AP8">
            <v>127602388366.01927</v>
          </cell>
          <cell r="AQ8">
            <v>130678128885.1747</v>
          </cell>
          <cell r="AR8">
            <v>138085971819.80637</v>
          </cell>
          <cell r="AS8">
            <v>140945759313.81061</v>
          </cell>
          <cell r="AT8">
            <v>148529518712.34277</v>
          </cell>
          <cell r="AU8">
            <v>177201164643.36008</v>
          </cell>
          <cell r="AV8">
            <v>205214466071.12418</v>
          </cell>
          <cell r="AW8">
            <v>254264799898.50882</v>
          </cell>
          <cell r="AX8">
            <v>310889578636.22815</v>
          </cell>
          <cell r="AY8">
            <v>396921040009.47174</v>
          </cell>
          <cell r="AZ8">
            <v>465485534968.5351</v>
          </cell>
          <cell r="BA8">
            <v>567791156729.12854</v>
          </cell>
          <cell r="BB8">
            <v>508362731366.62604</v>
          </cell>
          <cell r="BC8">
            <v>598521555565.83936</v>
          </cell>
          <cell r="BD8">
            <v>682015858791.68091</v>
          </cell>
          <cell r="BE8">
            <v>737589473577.07178</v>
          </cell>
          <cell r="BF8">
            <v>833948054767.43799</v>
          </cell>
          <cell r="BG8">
            <v>894322482190.28101</v>
          </cell>
          <cell r="BH8">
            <v>768644740597.11646</v>
          </cell>
          <cell r="BI8">
            <v>691363412188.45972</v>
          </cell>
          <cell r="BJ8">
            <v>684898755570.71692</v>
          </cell>
          <cell r="BK8">
            <v>767025741475.03784</v>
          </cell>
          <cell r="BL8">
            <v>822538393591.4469</v>
          </cell>
          <cell r="BM8">
            <v>786460035395.02649</v>
          </cell>
        </row>
        <row r="9">
          <cell r="B9" t="str">
            <v>AGO</v>
          </cell>
          <cell r="C9" t="str">
            <v>GDP (current US$)</v>
          </cell>
          <cell r="D9" t="str">
            <v>NY.GDP.MKTP.CD</v>
          </cell>
          <cell r="Y9">
            <v>5930503400.9626312</v>
          </cell>
          <cell r="Z9">
            <v>5550483035.9649715</v>
          </cell>
          <cell r="AA9">
            <v>5550483035.9649715</v>
          </cell>
          <cell r="AB9">
            <v>5784341596.3633938</v>
          </cell>
          <cell r="AC9">
            <v>6131475065.1781549</v>
          </cell>
          <cell r="AD9">
            <v>7554065410.1209974</v>
          </cell>
          <cell r="AE9">
            <v>7072536108.6971054</v>
          </cell>
          <cell r="AF9">
            <v>8084412414.2656603</v>
          </cell>
          <cell r="AG9">
            <v>8769836768.834816</v>
          </cell>
          <cell r="AH9">
            <v>10201780976.669563</v>
          </cell>
          <cell r="AI9">
            <v>11229515599.304768</v>
          </cell>
          <cell r="AJ9">
            <v>12704558516.591557</v>
          </cell>
          <cell r="AK9">
            <v>15114352005.303261</v>
          </cell>
          <cell r="AL9">
            <v>11051939101.56004</v>
          </cell>
          <cell r="AM9">
            <v>3390500000</v>
          </cell>
          <cell r="AN9">
            <v>5561222222.2222223</v>
          </cell>
          <cell r="AO9">
            <v>7526963963.9639635</v>
          </cell>
          <cell r="AP9">
            <v>7648377412.8327723</v>
          </cell>
          <cell r="AQ9">
            <v>6506229607.2943239</v>
          </cell>
          <cell r="AR9">
            <v>6152922942.9803152</v>
          </cell>
          <cell r="AS9">
            <v>9129594818.6074924</v>
          </cell>
          <cell r="AT9">
            <v>8936079252.7713146</v>
          </cell>
          <cell r="AU9">
            <v>15285592487.423664</v>
          </cell>
          <cell r="AV9">
            <v>17812704626.232372</v>
          </cell>
          <cell r="AW9">
            <v>23552057820.459892</v>
          </cell>
          <cell r="AX9">
            <v>36970901025.203217</v>
          </cell>
          <cell r="AY9">
            <v>52381025105.217659</v>
          </cell>
          <cell r="AZ9">
            <v>65266415706.974136</v>
          </cell>
          <cell r="BA9">
            <v>88538664888.198288</v>
          </cell>
          <cell r="BB9">
            <v>70307196477.081451</v>
          </cell>
          <cell r="BC9">
            <v>81699526880.807907</v>
          </cell>
          <cell r="BD9">
            <v>109436566876.41864</v>
          </cell>
          <cell r="BE9">
            <v>124998210652.24281</v>
          </cell>
          <cell r="BF9">
            <v>133401582620.49359</v>
          </cell>
          <cell r="BG9">
            <v>137244439121.37398</v>
          </cell>
          <cell r="BH9">
            <v>87219300384.507172</v>
          </cell>
          <cell r="BI9">
            <v>49840491178.151764</v>
          </cell>
          <cell r="BJ9">
            <v>68972769395.627365</v>
          </cell>
          <cell r="BK9">
            <v>77792944471.949432</v>
          </cell>
          <cell r="BL9">
            <v>69309110145.768738</v>
          </cell>
          <cell r="BM9">
            <v>50241368243.631424</v>
          </cell>
        </row>
        <row r="10">
          <cell r="B10" t="str">
            <v>ALB</v>
          </cell>
          <cell r="C10" t="str">
            <v>GDP (current US$)</v>
          </cell>
          <cell r="D10" t="str">
            <v>NY.GDP.MKTP.CD</v>
          </cell>
          <cell r="AC10">
            <v>1857338011.8548822</v>
          </cell>
          <cell r="AD10">
            <v>1897050133.4201543</v>
          </cell>
          <cell r="AE10">
            <v>2097326250</v>
          </cell>
          <cell r="AF10">
            <v>2080796249.9999998</v>
          </cell>
          <cell r="AG10">
            <v>2051236250</v>
          </cell>
          <cell r="AH10">
            <v>2253090000</v>
          </cell>
          <cell r="AI10">
            <v>2028553750</v>
          </cell>
          <cell r="AJ10">
            <v>1099559027.7777777</v>
          </cell>
          <cell r="AK10">
            <v>652174990.83730388</v>
          </cell>
          <cell r="AL10">
            <v>1185315468.4629517</v>
          </cell>
          <cell r="AM10">
            <v>1880950857.7870157</v>
          </cell>
          <cell r="AN10">
            <v>2392764853.4210739</v>
          </cell>
          <cell r="AO10">
            <v>3199640825.6225839</v>
          </cell>
          <cell r="AP10">
            <v>2258513974.0967965</v>
          </cell>
          <cell r="AQ10">
            <v>2545964540.883832</v>
          </cell>
          <cell r="AR10">
            <v>3212121650.9775524</v>
          </cell>
          <cell r="AS10">
            <v>3480355258.0412197</v>
          </cell>
          <cell r="AT10">
            <v>3922100793.5403037</v>
          </cell>
          <cell r="AU10">
            <v>4348068242.1951227</v>
          </cell>
          <cell r="AV10">
            <v>5611496257.142313</v>
          </cell>
          <cell r="AW10">
            <v>7184685781.5187607</v>
          </cell>
          <cell r="AX10">
            <v>8052077209.3736982</v>
          </cell>
          <cell r="AY10">
            <v>8896074996.3587589</v>
          </cell>
          <cell r="AZ10">
            <v>10677324872.828642</v>
          </cell>
          <cell r="BA10">
            <v>12881352878.250063</v>
          </cell>
          <cell r="BB10">
            <v>12044205572.434246</v>
          </cell>
          <cell r="BC10">
            <v>11926926654.052109</v>
          </cell>
          <cell r="BD10">
            <v>12890760272.558374</v>
          </cell>
          <cell r="BE10">
            <v>12319834233.290417</v>
          </cell>
          <cell r="BF10">
            <v>12776224537.274315</v>
          </cell>
          <cell r="BG10">
            <v>13228147516.116798</v>
          </cell>
          <cell r="BH10">
            <v>11386853143.151987</v>
          </cell>
          <cell r="BI10">
            <v>11861199830.83956</v>
          </cell>
          <cell r="BJ10">
            <v>13019726211.736889</v>
          </cell>
          <cell r="BK10">
            <v>15156424061.981478</v>
          </cell>
          <cell r="BL10">
            <v>15401826080.518326</v>
          </cell>
          <cell r="BM10">
            <v>15162734205.246202</v>
          </cell>
        </row>
        <row r="11">
          <cell r="B11" t="str">
            <v>AND</v>
          </cell>
          <cell r="C11" t="str">
            <v>GDP (current US$)</v>
          </cell>
          <cell r="D11" t="str">
            <v>NY.GDP.MKTP.CD</v>
          </cell>
          <cell r="O11">
            <v>78617622.615668103</v>
          </cell>
          <cell r="P11">
            <v>89406587.660322234</v>
          </cell>
          <cell r="Q11">
            <v>113414399.17980734</v>
          </cell>
          <cell r="R11">
            <v>150841573.45038989</v>
          </cell>
          <cell r="S11">
            <v>186557164.00867745</v>
          </cell>
          <cell r="T11">
            <v>220112879.7596131</v>
          </cell>
          <cell r="U11">
            <v>227284061.4721466</v>
          </cell>
          <cell r="V11">
            <v>253998001.24316144</v>
          </cell>
          <cell r="W11">
            <v>308020288.90630776</v>
          </cell>
          <cell r="X11">
            <v>411548365.74110174</v>
          </cell>
          <cell r="Y11">
            <v>446377571.45777959</v>
          </cell>
          <cell r="Z11">
            <v>388982990.4683888</v>
          </cell>
          <cell r="AA11">
            <v>375914806.52878219</v>
          </cell>
          <cell r="AB11">
            <v>327849981.48463422</v>
          </cell>
          <cell r="AC11">
            <v>330073057.02197683</v>
          </cell>
          <cell r="AD11">
            <v>346742876.30270958</v>
          </cell>
          <cell r="AE11">
            <v>481996191.30373251</v>
          </cell>
          <cell r="AF11">
            <v>611300147.25444412</v>
          </cell>
          <cell r="AG11">
            <v>721425971.76905537</v>
          </cell>
          <cell r="AH11">
            <v>795489464.0250268</v>
          </cell>
          <cell r="AI11">
            <v>1028989393.702947</v>
          </cell>
          <cell r="AJ11">
            <v>1106891024.786525</v>
          </cell>
          <cell r="AK11">
            <v>1209992649.5668821</v>
          </cell>
          <cell r="AL11">
            <v>1007090915.0599899</v>
          </cell>
          <cell r="AM11">
            <v>1017544675.4971336</v>
          </cell>
          <cell r="AN11">
            <v>1178745314.3263459</v>
          </cell>
          <cell r="AO11">
            <v>1224023415.653264</v>
          </cell>
          <cell r="AP11">
            <v>1180646068.292618</v>
          </cell>
          <cell r="AQ11">
            <v>1211953953.5634685</v>
          </cell>
          <cell r="AR11">
            <v>1239840269.7181356</v>
          </cell>
          <cell r="AS11">
            <v>1429048105.6661806</v>
          </cell>
          <cell r="AT11">
            <v>1546912331.8806992</v>
          </cell>
          <cell r="AU11">
            <v>1755989899.2959092</v>
          </cell>
          <cell r="AV11">
            <v>2361635782.0601883</v>
          </cell>
          <cell r="AW11">
            <v>2895047587.1188841</v>
          </cell>
          <cell r="AX11">
            <v>3159826891.5087304</v>
          </cell>
          <cell r="AY11">
            <v>3456265061.7206497</v>
          </cell>
          <cell r="AZ11">
            <v>3952397734.8548355</v>
          </cell>
          <cell r="BA11">
            <v>4085781938.5165153</v>
          </cell>
          <cell r="BB11">
            <v>3674188228.9502535</v>
          </cell>
          <cell r="BC11">
            <v>3449925738.8334222</v>
          </cell>
          <cell r="BD11">
            <v>3629133574.5136509</v>
          </cell>
          <cell r="BE11">
            <v>3188652765.2929692</v>
          </cell>
          <cell r="BF11">
            <v>3193512950.0157208</v>
          </cell>
          <cell r="BG11">
            <v>3271685596.5215049</v>
          </cell>
          <cell r="BH11">
            <v>2789881258.6054673</v>
          </cell>
          <cell r="BI11">
            <v>2896610479.8677917</v>
          </cell>
          <cell r="BJ11">
            <v>3000162081.2235618</v>
          </cell>
          <cell r="BK11">
            <v>3218419896.9332738</v>
          </cell>
          <cell r="BL11">
            <v>3155149347.9215069</v>
          </cell>
          <cell r="BM11">
            <v>2891001149.4007368</v>
          </cell>
        </row>
        <row r="12">
          <cell r="B12" t="str">
            <v>ARB</v>
          </cell>
          <cell r="C12" t="str">
            <v>GDP (current US$)</v>
          </cell>
          <cell r="D12" t="str">
            <v>NY.GDP.MKTP.CD</v>
          </cell>
          <cell r="M12">
            <v>34715404210.853088</v>
          </cell>
          <cell r="N12">
            <v>37827652252.000725</v>
          </cell>
          <cell r="O12">
            <v>42768536550.70327</v>
          </cell>
          <cell r="P12">
            <v>49428519673.456619</v>
          </cell>
          <cell r="Q12">
            <v>58935857748.533867</v>
          </cell>
          <cell r="R12">
            <v>74780454402.087753</v>
          </cell>
          <cell r="S12">
            <v>142137633612.97946</v>
          </cell>
          <cell r="T12">
            <v>157069227730.64456</v>
          </cell>
          <cell r="U12">
            <v>195513756716.26746</v>
          </cell>
          <cell r="V12">
            <v>225676459936.29739</v>
          </cell>
          <cell r="W12">
            <v>249608263403.04593</v>
          </cell>
          <cell r="X12">
            <v>337961752414.97894</v>
          </cell>
          <cell r="Y12">
            <v>459804598569.46167</v>
          </cell>
          <cell r="Z12">
            <v>474812142540.0946</v>
          </cell>
          <cell r="AA12">
            <v>444575870914.34326</v>
          </cell>
          <cell r="AB12">
            <v>418462069813.7644</v>
          </cell>
          <cell r="AC12">
            <v>425899415741.84332</v>
          </cell>
          <cell r="AD12">
            <v>419485435098.3197</v>
          </cell>
          <cell r="AE12">
            <v>406982702169.50348</v>
          </cell>
          <cell r="AF12">
            <v>440607629311.64838</v>
          </cell>
          <cell r="AG12">
            <v>424896194402.89569</v>
          </cell>
          <cell r="AH12">
            <v>455822667744.98175</v>
          </cell>
          <cell r="AI12">
            <v>644062569659.78418</v>
          </cell>
          <cell r="AJ12">
            <v>471800078473.10748</v>
          </cell>
          <cell r="AK12">
            <v>473811268023.86023</v>
          </cell>
          <cell r="AL12">
            <v>482764256146.68427</v>
          </cell>
          <cell r="AM12">
            <v>507764942792.86334</v>
          </cell>
          <cell r="AN12">
            <v>556046395850.06714</v>
          </cell>
          <cell r="AO12">
            <v>614186085021.47473</v>
          </cell>
          <cell r="AP12">
            <v>662308062161.0752</v>
          </cell>
          <cell r="AQ12">
            <v>649192024190.97656</v>
          </cell>
          <cell r="AR12">
            <v>717469440493.50305</v>
          </cell>
          <cell r="AS12">
            <v>820185610129.23914</v>
          </cell>
          <cell r="AT12">
            <v>802881110720.1626</v>
          </cell>
          <cell r="AU12">
            <v>807961558719.84741</v>
          </cell>
          <cell r="AV12">
            <v>893818030124.46008</v>
          </cell>
          <cell r="AW12">
            <v>1062736962989.3877</v>
          </cell>
          <cell r="AX12">
            <v>1304401465632.9443</v>
          </cell>
          <cell r="AY12">
            <v>1545539138979.4146</v>
          </cell>
          <cell r="AZ12">
            <v>1797932187931.8276</v>
          </cell>
          <cell r="BA12">
            <v>2263028942886.3193</v>
          </cell>
          <cell r="BB12">
            <v>1987053424430.1726</v>
          </cell>
          <cell r="BC12">
            <v>2334637959849.4805</v>
          </cell>
          <cell r="BD12">
            <v>2555979378991.6528</v>
          </cell>
          <cell r="BE12">
            <v>2801697577805.5903</v>
          </cell>
          <cell r="BF12">
            <v>2859669252729.5762</v>
          </cell>
          <cell r="BG12">
            <v>2905732745187.0054</v>
          </cell>
          <cell r="BH12">
            <v>2554156134622.5908</v>
          </cell>
          <cell r="BI12">
            <v>2537536661584.8066</v>
          </cell>
          <cell r="BJ12">
            <v>2637111521998.1289</v>
          </cell>
          <cell r="BK12">
            <v>2843476105063.8022</v>
          </cell>
          <cell r="BL12">
            <v>2868890920845.1177</v>
          </cell>
          <cell r="BM12">
            <v>2533377484136.8716</v>
          </cell>
        </row>
        <row r="13">
          <cell r="B13" t="str">
            <v>ARE</v>
          </cell>
          <cell r="C13" t="str">
            <v>GDP (current US$)</v>
          </cell>
          <cell r="D13" t="str">
            <v>NY.GDP.MKTP.CD</v>
          </cell>
          <cell r="T13">
            <v>14720728252.251663</v>
          </cell>
          <cell r="U13">
            <v>19213156353.497982</v>
          </cell>
          <cell r="V13">
            <v>24871775164.604309</v>
          </cell>
          <cell r="W13">
            <v>23775765254.439346</v>
          </cell>
          <cell r="X13">
            <v>31225660993.098629</v>
          </cell>
          <cell r="Y13">
            <v>43599160062.092392</v>
          </cell>
          <cell r="Z13">
            <v>49333424148.551735</v>
          </cell>
          <cell r="AA13">
            <v>46622718617.98494</v>
          </cell>
          <cell r="AB13">
            <v>42803323356.797417</v>
          </cell>
          <cell r="AC13">
            <v>41807954240.648354</v>
          </cell>
          <cell r="AD13">
            <v>40603650231.54454</v>
          </cell>
          <cell r="AE13">
            <v>33943612094.797058</v>
          </cell>
          <cell r="AF13">
            <v>36384908744.211388</v>
          </cell>
          <cell r="AG13">
            <v>36275674203.214386</v>
          </cell>
          <cell r="AH13">
            <v>41464995913.919914</v>
          </cell>
          <cell r="AI13">
            <v>50701443748.29747</v>
          </cell>
          <cell r="AJ13">
            <v>51552165622.446205</v>
          </cell>
          <cell r="AK13">
            <v>54239171887.769005</v>
          </cell>
          <cell r="AL13">
            <v>55625170253.336967</v>
          </cell>
          <cell r="AM13">
            <v>59305093979.84201</v>
          </cell>
          <cell r="AN13">
            <v>65743666575.864891</v>
          </cell>
          <cell r="AO13">
            <v>73571233996.186325</v>
          </cell>
          <cell r="AP13">
            <v>78839008444.565521</v>
          </cell>
          <cell r="AQ13">
            <v>75674336283.185837</v>
          </cell>
          <cell r="AR13">
            <v>84445473110.959839</v>
          </cell>
          <cell r="AS13">
            <v>104337372362.15112</v>
          </cell>
          <cell r="AT13">
            <v>103311640571.81757</v>
          </cell>
          <cell r="AU13">
            <v>109816201497.61743</v>
          </cell>
          <cell r="AV13">
            <v>124346358066.71205</v>
          </cell>
          <cell r="AW13">
            <v>147824370319.94556</v>
          </cell>
          <cell r="AX13">
            <v>180617467964.60178</v>
          </cell>
          <cell r="AY13">
            <v>222116541865.21445</v>
          </cell>
          <cell r="AZ13">
            <v>257916133424.09802</v>
          </cell>
          <cell r="BA13">
            <v>315474615738.59772</v>
          </cell>
          <cell r="BB13">
            <v>253547358747.44727</v>
          </cell>
          <cell r="BC13">
            <v>289787452661.67462</v>
          </cell>
          <cell r="BD13">
            <v>350666058379.85022</v>
          </cell>
          <cell r="BE13">
            <v>384610125391.42273</v>
          </cell>
          <cell r="BF13">
            <v>400218529748.12799</v>
          </cell>
          <cell r="BG13">
            <v>414105366752.89313</v>
          </cell>
          <cell r="BH13">
            <v>370275469571.13684</v>
          </cell>
          <cell r="BI13">
            <v>369255326235.53436</v>
          </cell>
          <cell r="BJ13">
            <v>390516804029.95233</v>
          </cell>
          <cell r="BK13">
            <v>427049432157.9306</v>
          </cell>
          <cell r="BL13">
            <v>417989721742.68213</v>
          </cell>
          <cell r="BM13">
            <v>349473015330.15656</v>
          </cell>
        </row>
        <row r="14">
          <cell r="B14" t="str">
            <v>ARG</v>
          </cell>
          <cell r="C14" t="str">
            <v>GDP (current US$)</v>
          </cell>
          <cell r="D14" t="str">
            <v>NY.GDP.MKTP.CD</v>
          </cell>
          <cell r="G14">
            <v>24450604877.608116</v>
          </cell>
          <cell r="H14">
            <v>18272123664.471519</v>
          </cell>
          <cell r="I14">
            <v>25605249381.759708</v>
          </cell>
          <cell r="J14">
            <v>28344705966.638908</v>
          </cell>
          <cell r="K14">
            <v>28630474727.90226</v>
          </cell>
          <cell r="L14">
            <v>24256667553.25692</v>
          </cell>
          <cell r="M14">
            <v>26436857247.498184</v>
          </cell>
          <cell r="N14">
            <v>31256284543.615479</v>
          </cell>
          <cell r="O14">
            <v>31584210365.544651</v>
          </cell>
          <cell r="P14">
            <v>33293199095.488117</v>
          </cell>
          <cell r="Q14">
            <v>34733000536.286209</v>
          </cell>
          <cell r="R14">
            <v>52544000116.903732</v>
          </cell>
          <cell r="S14">
            <v>72436777342.455414</v>
          </cell>
          <cell r="T14">
            <v>52438647921.9226</v>
          </cell>
          <cell r="U14">
            <v>51169499892.172218</v>
          </cell>
          <cell r="V14">
            <v>56781000101.084831</v>
          </cell>
          <cell r="W14">
            <v>89049453088.328171</v>
          </cell>
          <cell r="X14">
            <v>69252328951.644104</v>
          </cell>
          <cell r="Y14">
            <v>76961923741.070099</v>
          </cell>
          <cell r="Z14">
            <v>78676842366.552902</v>
          </cell>
          <cell r="AA14">
            <v>84307486836.724014</v>
          </cell>
          <cell r="AB14">
            <v>103979106777.91101</v>
          </cell>
          <cell r="AC14">
            <v>116915052107.03087</v>
          </cell>
          <cell r="AD14">
            <v>88150891728.10643</v>
          </cell>
          <cell r="AE14">
            <v>105872372613.85706</v>
          </cell>
          <cell r="AF14">
            <v>108810885301.25256</v>
          </cell>
          <cell r="AG14">
            <v>126890235049.09248</v>
          </cell>
          <cell r="AH14">
            <v>76629728760.122955</v>
          </cell>
          <cell r="AI14">
            <v>141352630146.73056</v>
          </cell>
          <cell r="AJ14">
            <v>189719984268.48453</v>
          </cell>
          <cell r="AK14">
            <v>228778994288.21381</v>
          </cell>
          <cell r="AL14">
            <v>236741715015.01501</v>
          </cell>
          <cell r="AM14">
            <v>257440000000</v>
          </cell>
          <cell r="AN14">
            <v>258031750000</v>
          </cell>
          <cell r="AO14">
            <v>272149750000</v>
          </cell>
          <cell r="AP14">
            <v>292859000000</v>
          </cell>
          <cell r="AQ14">
            <v>298948250000</v>
          </cell>
          <cell r="AR14">
            <v>283523000000</v>
          </cell>
          <cell r="AS14">
            <v>284203750000</v>
          </cell>
          <cell r="AT14">
            <v>268696750000</v>
          </cell>
          <cell r="AU14">
            <v>97724004251.860199</v>
          </cell>
          <cell r="AV14">
            <v>127586973492.17664</v>
          </cell>
          <cell r="AW14">
            <v>164657930452.78662</v>
          </cell>
          <cell r="AX14">
            <v>198737095012.28165</v>
          </cell>
          <cell r="AY14">
            <v>232557260817.30771</v>
          </cell>
          <cell r="AZ14">
            <v>287530508430.56799</v>
          </cell>
          <cell r="BA14">
            <v>361558037110.41925</v>
          </cell>
          <cell r="BB14">
            <v>332976484577.6189</v>
          </cell>
          <cell r="BC14">
            <v>423627422092.48969</v>
          </cell>
          <cell r="BD14">
            <v>530158176673.78851</v>
          </cell>
          <cell r="BE14">
            <v>545982375701.12799</v>
          </cell>
          <cell r="BF14">
            <v>552025140252.24634</v>
          </cell>
          <cell r="BG14">
            <v>526319673731.63831</v>
          </cell>
          <cell r="BH14">
            <v>594749285413.2124</v>
          </cell>
          <cell r="BI14">
            <v>557532317363.45117</v>
          </cell>
          <cell r="BJ14">
            <v>643628396190.38806</v>
          </cell>
          <cell r="BK14">
            <v>524819898586.90643</v>
          </cell>
          <cell r="BL14">
            <v>447754686715.08081</v>
          </cell>
          <cell r="BM14">
            <v>385540406815.59869</v>
          </cell>
        </row>
        <row r="15">
          <cell r="B15" t="str">
            <v>ARM</v>
          </cell>
          <cell r="C15" t="str">
            <v>GDP (current US$)</v>
          </cell>
          <cell r="D15" t="str">
            <v>NY.GDP.MKTP.CD</v>
          </cell>
          <cell r="AI15">
            <v>2256838857.6099715</v>
          </cell>
          <cell r="AJ15">
            <v>2069870129.8701298</v>
          </cell>
          <cell r="AK15">
            <v>1272835453.4263439</v>
          </cell>
          <cell r="AL15">
            <v>1201312829.2752385</v>
          </cell>
          <cell r="AM15">
            <v>1315158636.6755345</v>
          </cell>
          <cell r="AN15">
            <v>1468317435.2014842</v>
          </cell>
          <cell r="AO15">
            <v>1596968946.2370784</v>
          </cell>
          <cell r="AP15">
            <v>1639492444.7615163</v>
          </cell>
          <cell r="AQ15">
            <v>1893726437.2646184</v>
          </cell>
          <cell r="AR15">
            <v>1845482173.0273242</v>
          </cell>
          <cell r="AS15">
            <v>1911563668.8500648</v>
          </cell>
          <cell r="AT15">
            <v>2118467913.3787341</v>
          </cell>
          <cell r="AU15">
            <v>2376335048.399756</v>
          </cell>
          <cell r="AV15">
            <v>2807061008.6908445</v>
          </cell>
          <cell r="AW15">
            <v>3576615240.4161587</v>
          </cell>
          <cell r="AX15">
            <v>4900469515.0725203</v>
          </cell>
          <cell r="AY15">
            <v>6384452070.7417126</v>
          </cell>
          <cell r="AZ15">
            <v>9206301264.1757183</v>
          </cell>
          <cell r="BA15">
            <v>11662040703.891603</v>
          </cell>
          <cell r="BB15">
            <v>8647937090.6338921</v>
          </cell>
          <cell r="BC15">
            <v>9260285762.0970364</v>
          </cell>
          <cell r="BD15">
            <v>10142111812.366453</v>
          </cell>
          <cell r="BE15">
            <v>10619320692.808701</v>
          </cell>
          <cell r="BF15">
            <v>11121464429.702991</v>
          </cell>
          <cell r="BG15">
            <v>11609513241.075359</v>
          </cell>
          <cell r="BH15">
            <v>10553337527.774534</v>
          </cell>
          <cell r="BI15">
            <v>10546136240.395241</v>
          </cell>
          <cell r="BJ15">
            <v>11527458712.618654</v>
          </cell>
          <cell r="BK15">
            <v>12457940705.308796</v>
          </cell>
          <cell r="BL15">
            <v>13619290545.813139</v>
          </cell>
          <cell r="BM15">
            <v>12641698593.790771</v>
          </cell>
        </row>
        <row r="16">
          <cell r="B16" t="str">
            <v>ASM</v>
          </cell>
          <cell r="C16" t="str">
            <v>GDP (current US$)</v>
          </cell>
          <cell r="D16" t="str">
            <v>NY.GDP.MKTP.CD</v>
          </cell>
          <cell r="AU16">
            <v>512000000</v>
          </cell>
          <cell r="AV16">
            <v>524000000</v>
          </cell>
          <cell r="AW16">
            <v>509000000</v>
          </cell>
          <cell r="AX16">
            <v>500000000</v>
          </cell>
          <cell r="AY16">
            <v>493000000</v>
          </cell>
          <cell r="AZ16">
            <v>518000000</v>
          </cell>
          <cell r="BA16">
            <v>560000000</v>
          </cell>
          <cell r="BB16">
            <v>675000000</v>
          </cell>
          <cell r="BC16">
            <v>573000000</v>
          </cell>
          <cell r="BD16">
            <v>570000000</v>
          </cell>
          <cell r="BE16">
            <v>640000000</v>
          </cell>
          <cell r="BF16">
            <v>638000000</v>
          </cell>
          <cell r="BG16">
            <v>643000000</v>
          </cell>
          <cell r="BH16">
            <v>673000000</v>
          </cell>
          <cell r="BI16">
            <v>671000000</v>
          </cell>
          <cell r="BJ16">
            <v>612000000</v>
          </cell>
          <cell r="BK16">
            <v>639000000</v>
          </cell>
          <cell r="BL16">
            <v>647000000</v>
          </cell>
          <cell r="BM16">
            <v>716000000</v>
          </cell>
        </row>
        <row r="17">
          <cell r="B17" t="str">
            <v>ATG</v>
          </cell>
          <cell r="C17" t="str">
            <v>GDP (current US$)</v>
          </cell>
          <cell r="D17" t="str">
            <v>NY.GDP.MKTP.CD</v>
          </cell>
          <cell r="V17">
            <v>77496753.703703701</v>
          </cell>
          <cell r="W17">
            <v>87879341.481481478</v>
          </cell>
          <cell r="X17">
            <v>109079978.88888888</v>
          </cell>
          <cell r="Y17">
            <v>131431026.66666666</v>
          </cell>
          <cell r="Z17">
            <v>147841734.44444445</v>
          </cell>
          <cell r="AA17">
            <v>164369278.88888887</v>
          </cell>
          <cell r="AB17">
            <v>182144092.96296296</v>
          </cell>
          <cell r="AC17">
            <v>208372846.29629627</v>
          </cell>
          <cell r="AD17">
            <v>240923924.81481481</v>
          </cell>
          <cell r="AE17">
            <v>290440140.74074072</v>
          </cell>
          <cell r="AF17">
            <v>337174861.85185182</v>
          </cell>
          <cell r="AG17">
            <v>398637727.77777773</v>
          </cell>
          <cell r="AH17">
            <v>438794788.51851851</v>
          </cell>
          <cell r="AI17">
            <v>459470370.37037033</v>
          </cell>
          <cell r="AJ17">
            <v>481707407.4074074</v>
          </cell>
          <cell r="AK17">
            <v>499281481.48148143</v>
          </cell>
          <cell r="AL17">
            <v>535174074.07407403</v>
          </cell>
          <cell r="AM17">
            <v>589429629.62962961</v>
          </cell>
          <cell r="AN17">
            <v>577281481.48148143</v>
          </cell>
          <cell r="AO17">
            <v>633729629.62962961</v>
          </cell>
          <cell r="AP17">
            <v>680618518.51851845</v>
          </cell>
          <cell r="AQ17">
            <v>727859259.25925922</v>
          </cell>
          <cell r="AR17">
            <v>766199999.99999988</v>
          </cell>
          <cell r="AS17">
            <v>826370370.37037027</v>
          </cell>
          <cell r="AT17">
            <v>800481481.48148143</v>
          </cell>
          <cell r="AU17">
            <v>814381481.48148143</v>
          </cell>
          <cell r="AV17">
            <v>856396296.29629624</v>
          </cell>
          <cell r="AW17">
            <v>919729629.62962961</v>
          </cell>
          <cell r="AX17">
            <v>1022962962.9629629</v>
          </cell>
          <cell r="AY17">
            <v>1157662962.9629629</v>
          </cell>
          <cell r="AZ17">
            <v>1312759259.2592592</v>
          </cell>
          <cell r="BA17">
            <v>1370070370.3703704</v>
          </cell>
          <cell r="BB17">
            <v>1228329629.6296296</v>
          </cell>
          <cell r="BC17">
            <v>1148700000</v>
          </cell>
          <cell r="BD17">
            <v>1137637037.0370369</v>
          </cell>
          <cell r="BE17">
            <v>1199948148.1481481</v>
          </cell>
          <cell r="BF17">
            <v>1181448148.1481481</v>
          </cell>
          <cell r="BG17">
            <v>1249733333.3333333</v>
          </cell>
          <cell r="BH17">
            <v>1336692592.5925925</v>
          </cell>
          <cell r="BI17">
            <v>1436585185.1851852</v>
          </cell>
          <cell r="BJ17">
            <v>1467955555.5555553</v>
          </cell>
          <cell r="BK17">
            <v>1604770370.3703701</v>
          </cell>
          <cell r="BL17">
            <v>1675403703.7037036</v>
          </cell>
          <cell r="BM17">
            <v>1416348148.1481481</v>
          </cell>
        </row>
        <row r="18">
          <cell r="B18" t="str">
            <v>AUS</v>
          </cell>
          <cell r="C18" t="str">
            <v>GDP (current US$)</v>
          </cell>
          <cell r="D18" t="str">
            <v>NY.GDP.MKTP.CD</v>
          </cell>
          <cell r="E18">
            <v>18606562979.282867</v>
          </cell>
          <cell r="F18">
            <v>19682883151.623253</v>
          </cell>
          <cell r="G18">
            <v>19922563190.00082</v>
          </cell>
          <cell r="H18">
            <v>21539843448.959736</v>
          </cell>
          <cell r="I18">
            <v>23801123811.035946</v>
          </cell>
          <cell r="J18">
            <v>25976164159.30341</v>
          </cell>
          <cell r="K18">
            <v>27307844372.532043</v>
          </cell>
          <cell r="L18">
            <v>30442724874.489109</v>
          </cell>
          <cell r="M18">
            <v>32714085238.179333</v>
          </cell>
          <cell r="N18">
            <v>36683365873.740547</v>
          </cell>
          <cell r="O18">
            <v>41333606618.337097</v>
          </cell>
          <cell r="P18">
            <v>45216647240.089561</v>
          </cell>
          <cell r="Q18">
            <v>52042056074.766357</v>
          </cell>
          <cell r="R18">
            <v>63832158872.517616</v>
          </cell>
          <cell r="S18">
            <v>88963890935.887985</v>
          </cell>
          <cell r="T18">
            <v>97304383449.405991</v>
          </cell>
          <cell r="U18">
            <v>105060650224.27051</v>
          </cell>
          <cell r="V18">
            <v>110350997935.30626</v>
          </cell>
          <cell r="W18">
            <v>118491577918.81233</v>
          </cell>
          <cell r="X18">
            <v>134898330114.73361</v>
          </cell>
          <cell r="Y18">
            <v>149984401114.20615</v>
          </cell>
          <cell r="Z18">
            <v>176891907581.56277</v>
          </cell>
          <cell r="AA18">
            <v>194037294494.09689</v>
          </cell>
          <cell r="AB18">
            <v>177263464407.83322</v>
          </cell>
          <cell r="AC18">
            <v>193517245510.16028</v>
          </cell>
          <cell r="AD18">
            <v>180634851530.18085</v>
          </cell>
          <cell r="AE18">
            <v>182472020145.49524</v>
          </cell>
          <cell r="AF18">
            <v>189487824245.6326</v>
          </cell>
          <cell r="AG18">
            <v>236152526238.56384</v>
          </cell>
          <cell r="AH18">
            <v>299875825286.85797</v>
          </cell>
          <cell r="AI18">
            <v>311430632641.08655</v>
          </cell>
          <cell r="AJ18">
            <v>325981640935.41711</v>
          </cell>
          <cell r="AK18">
            <v>325532426233.22736</v>
          </cell>
          <cell r="AL18">
            <v>312138139404.15961</v>
          </cell>
          <cell r="AM18">
            <v>322809408509.16638</v>
          </cell>
          <cell r="AN18">
            <v>368140778140.77814</v>
          </cell>
          <cell r="AO18">
            <v>401310823652.7428</v>
          </cell>
          <cell r="AP18">
            <v>435613768959.97046</v>
          </cell>
          <cell r="AQ18">
            <v>399660855999.4574</v>
          </cell>
          <cell r="AR18">
            <v>389389647825.54199</v>
          </cell>
          <cell r="AS18">
            <v>415844972940.49646</v>
          </cell>
          <cell r="AT18">
            <v>379357823192.52985</v>
          </cell>
          <cell r="AU18">
            <v>395573025330.4469</v>
          </cell>
          <cell r="AV18">
            <v>467497961560.86194</v>
          </cell>
          <cell r="AW18">
            <v>614326362213.68616</v>
          </cell>
          <cell r="AX18">
            <v>695305000206.72888</v>
          </cell>
          <cell r="AY18">
            <v>747907432136.59802</v>
          </cell>
          <cell r="AZ18">
            <v>854427259166.20862</v>
          </cell>
          <cell r="BA18">
            <v>1055686110665.5344</v>
          </cell>
          <cell r="BB18">
            <v>928629769751.88354</v>
          </cell>
          <cell r="BC18">
            <v>1148569537284.6228</v>
          </cell>
          <cell r="BD18">
            <v>1398456161407.8506</v>
          </cell>
          <cell r="BE18">
            <v>1546952690139.9939</v>
          </cell>
          <cell r="BF18">
            <v>1576329690003.9307</v>
          </cell>
          <cell r="BG18">
            <v>1467589901175.4551</v>
          </cell>
          <cell r="BH18">
            <v>1350580336316.7546</v>
          </cell>
          <cell r="BI18">
            <v>1206562910556.5779</v>
          </cell>
          <cell r="BJ18">
            <v>1326467487376.4219</v>
          </cell>
          <cell r="BK18">
            <v>1428266513154.4751</v>
          </cell>
          <cell r="BL18">
            <v>1392218527563.2642</v>
          </cell>
          <cell r="BM18">
            <v>1326944627876.8682</v>
          </cell>
        </row>
        <row r="19">
          <cell r="B19" t="str">
            <v>AUT</v>
          </cell>
          <cell r="C19" t="str">
            <v>GDP (current US$)</v>
          </cell>
          <cell r="D19" t="str">
            <v>NY.GDP.MKTP.CD</v>
          </cell>
          <cell r="E19">
            <v>6592693841.1849499</v>
          </cell>
          <cell r="F19">
            <v>7311749633.3622875</v>
          </cell>
          <cell r="G19">
            <v>7756110210.1196642</v>
          </cell>
          <cell r="H19">
            <v>8374175257.7307529</v>
          </cell>
          <cell r="I19">
            <v>9169983885.7118511</v>
          </cell>
          <cell r="J19">
            <v>9994070615.8599701</v>
          </cell>
          <cell r="K19">
            <v>10887682273.101418</v>
          </cell>
          <cell r="L19">
            <v>11579431668.916473</v>
          </cell>
          <cell r="M19">
            <v>12440625312.868534</v>
          </cell>
          <cell r="N19">
            <v>13582798556.240419</v>
          </cell>
          <cell r="O19">
            <v>15373005557.025669</v>
          </cell>
          <cell r="P19">
            <v>17858486066.747437</v>
          </cell>
          <cell r="Q19">
            <v>22059612476.933151</v>
          </cell>
          <cell r="R19">
            <v>29515467706.795979</v>
          </cell>
          <cell r="S19">
            <v>35189299911.660774</v>
          </cell>
          <cell r="T19">
            <v>40059206763.056015</v>
          </cell>
          <cell r="U19">
            <v>42959976221.523354</v>
          </cell>
          <cell r="V19">
            <v>51545758887.686287</v>
          </cell>
          <cell r="W19">
            <v>62052259073.249321</v>
          </cell>
          <cell r="X19">
            <v>73937296963.458572</v>
          </cell>
          <cell r="Y19">
            <v>82058912997.234634</v>
          </cell>
          <cell r="Z19">
            <v>71034228443.062042</v>
          </cell>
          <cell r="AA19">
            <v>71275287569.573288</v>
          </cell>
          <cell r="AB19">
            <v>72121016546.652374</v>
          </cell>
          <cell r="AC19">
            <v>67985344886.871605</v>
          </cell>
          <cell r="AD19">
            <v>69386774408.08725</v>
          </cell>
          <cell r="AE19">
            <v>99036164939.161789</v>
          </cell>
          <cell r="AF19">
            <v>124168442533.73967</v>
          </cell>
          <cell r="AG19">
            <v>133339397080.12927</v>
          </cell>
          <cell r="AH19">
            <v>133105805512.22049</v>
          </cell>
          <cell r="AI19">
            <v>166463386179.35373</v>
          </cell>
          <cell r="AJ19">
            <v>173794177961.10782</v>
          </cell>
          <cell r="AK19">
            <v>195078126721.76309</v>
          </cell>
          <cell r="AL19">
            <v>190379720809.18018</v>
          </cell>
          <cell r="AM19">
            <v>203535242741.83835</v>
          </cell>
          <cell r="AN19">
            <v>241038283062.64502</v>
          </cell>
          <cell r="AO19">
            <v>237250948791.26593</v>
          </cell>
          <cell r="AP19">
            <v>212790348404.55518</v>
          </cell>
          <cell r="AQ19">
            <v>218259904401.95642</v>
          </cell>
          <cell r="AR19">
            <v>217259147049.95413</v>
          </cell>
          <cell r="AS19">
            <v>197289625479.90631</v>
          </cell>
          <cell r="AT19">
            <v>197508773215.32309</v>
          </cell>
          <cell r="AU19">
            <v>214394866675.23959</v>
          </cell>
          <cell r="AV19">
            <v>262273631180.05435</v>
          </cell>
          <cell r="AW19">
            <v>301457562038.54132</v>
          </cell>
          <cell r="AX19">
            <v>316092273276.01544</v>
          </cell>
          <cell r="AY19">
            <v>336280064332.41132</v>
          </cell>
          <cell r="AZ19">
            <v>389185571506.05225</v>
          </cell>
          <cell r="BA19">
            <v>432051935642.94519</v>
          </cell>
          <cell r="BB19">
            <v>401758735822.21069</v>
          </cell>
          <cell r="BC19">
            <v>392275107258.67676</v>
          </cell>
          <cell r="BD19">
            <v>431685217367.51361</v>
          </cell>
          <cell r="BE19">
            <v>409401816050.53131</v>
          </cell>
          <cell r="BF19">
            <v>430190979705.96545</v>
          </cell>
          <cell r="BG19">
            <v>442584815286.02667</v>
          </cell>
          <cell r="BH19">
            <v>381971148530.54279</v>
          </cell>
          <cell r="BI19">
            <v>395837353031.50995</v>
          </cell>
          <cell r="BJ19">
            <v>417261151844.98096</v>
          </cell>
          <cell r="BK19">
            <v>454991174096.09351</v>
          </cell>
          <cell r="BL19">
            <v>444621176100.54034</v>
          </cell>
          <cell r="BM19">
            <v>435225238000.42957</v>
          </cell>
        </row>
        <row r="20">
          <cell r="B20" t="str">
            <v>AZE</v>
          </cell>
          <cell r="C20" t="str">
            <v>GDP (current US$)</v>
          </cell>
          <cell r="D20" t="str">
            <v>NY.GDP.MKTP.CD</v>
          </cell>
          <cell r="AI20">
            <v>8858006042.2960739</v>
          </cell>
          <cell r="AJ20">
            <v>5344000000</v>
          </cell>
          <cell r="AK20">
            <v>444658671.58671582</v>
          </cell>
          <cell r="AL20">
            <v>1570392598.1495376</v>
          </cell>
          <cell r="AM20">
            <v>1193141110.3504274</v>
          </cell>
          <cell r="AN20">
            <v>2417332562.2218437</v>
          </cell>
          <cell r="AO20">
            <v>3176507991.7396388</v>
          </cell>
          <cell r="AP20">
            <v>3962362387.4792209</v>
          </cell>
          <cell r="AQ20">
            <v>4446370371.1502304</v>
          </cell>
          <cell r="AR20">
            <v>4581246713.3206606</v>
          </cell>
          <cell r="AS20">
            <v>5272617196.0451736</v>
          </cell>
          <cell r="AT20">
            <v>5707618246.5684757</v>
          </cell>
          <cell r="AU20">
            <v>6236086669.1753855</v>
          </cell>
          <cell r="AV20">
            <v>7276413079.1145105</v>
          </cell>
          <cell r="AW20">
            <v>8680410157.5716991</v>
          </cell>
          <cell r="AX20">
            <v>13245421880.834042</v>
          </cell>
          <cell r="AY20">
            <v>20981929497.618767</v>
          </cell>
          <cell r="AZ20">
            <v>33049426816.444801</v>
          </cell>
          <cell r="BA20">
            <v>48851318825.715195</v>
          </cell>
          <cell r="BB20">
            <v>44292408816.638</v>
          </cell>
          <cell r="BC20">
            <v>52909294791.926239</v>
          </cell>
          <cell r="BD20">
            <v>65952763948.839035</v>
          </cell>
          <cell r="BE20">
            <v>69679913509.909134</v>
          </cell>
          <cell r="BF20">
            <v>74160553008.731094</v>
          </cell>
          <cell r="BG20">
            <v>75239737488.804398</v>
          </cell>
          <cell r="BH20">
            <v>53076244754.503662</v>
          </cell>
          <cell r="BI20">
            <v>37867007022.784386</v>
          </cell>
          <cell r="BJ20">
            <v>40866632047.841438</v>
          </cell>
          <cell r="BK20">
            <v>47112479289.41864</v>
          </cell>
          <cell r="BL20">
            <v>48174235294.117645</v>
          </cell>
          <cell r="BM20">
            <v>42693000000</v>
          </cell>
        </row>
        <row r="21">
          <cell r="B21" t="str">
            <v>BDI</v>
          </cell>
          <cell r="C21" t="str">
            <v>GDP (current US$)</v>
          </cell>
          <cell r="D21" t="str">
            <v>NY.GDP.MKTP.CD</v>
          </cell>
          <cell r="E21">
            <v>195999989.80792001</v>
          </cell>
          <cell r="F21">
            <v>202999991.80105999</v>
          </cell>
          <cell r="G21">
            <v>213500005.79076999</v>
          </cell>
          <cell r="H21">
            <v>232749997.771905</v>
          </cell>
          <cell r="I21">
            <v>260750007.74446499</v>
          </cell>
          <cell r="J21">
            <v>158994962.81197661</v>
          </cell>
          <cell r="K21">
            <v>165444571.26312685</v>
          </cell>
          <cell r="L21">
            <v>178297142.6788457</v>
          </cell>
          <cell r="M21">
            <v>183199999.8168</v>
          </cell>
          <cell r="N21">
            <v>190205714.09550858</v>
          </cell>
          <cell r="O21">
            <v>242732571.18583885</v>
          </cell>
          <cell r="P21">
            <v>252842285.48251373</v>
          </cell>
          <cell r="Q21">
            <v>246804571.42857143</v>
          </cell>
          <cell r="R21">
            <v>304339839.55214554</v>
          </cell>
          <cell r="S21">
            <v>345263492.06349206</v>
          </cell>
          <cell r="T21">
            <v>420986666.66666663</v>
          </cell>
          <cell r="U21">
            <v>448412753.62318838</v>
          </cell>
          <cell r="V21">
            <v>547535555.55555558</v>
          </cell>
          <cell r="W21">
            <v>610225555.55555558</v>
          </cell>
          <cell r="X21">
            <v>782496666.66666663</v>
          </cell>
          <cell r="Y21">
            <v>919726666.66666663</v>
          </cell>
          <cell r="Z21">
            <v>969046666.66666663</v>
          </cell>
          <cell r="AA21">
            <v>1013222222.2222222</v>
          </cell>
          <cell r="AB21">
            <v>1082926304.464766</v>
          </cell>
          <cell r="AC21">
            <v>987143931.16698694</v>
          </cell>
          <cell r="AD21">
            <v>1149979285.7734692</v>
          </cell>
          <cell r="AE21">
            <v>1201725497.065779</v>
          </cell>
          <cell r="AF21">
            <v>1131466494.0110068</v>
          </cell>
          <cell r="AG21">
            <v>1082403219.4878733</v>
          </cell>
          <cell r="AH21">
            <v>1113924130.4114907</v>
          </cell>
          <cell r="AI21">
            <v>1132101252.5181746</v>
          </cell>
          <cell r="AJ21">
            <v>1167398478.3459036</v>
          </cell>
          <cell r="AK21">
            <v>1083037670.60484</v>
          </cell>
          <cell r="AL21">
            <v>938632612.02635908</v>
          </cell>
          <cell r="AM21">
            <v>925030590.15368295</v>
          </cell>
          <cell r="AN21">
            <v>1000428393.885281</v>
          </cell>
          <cell r="AO21">
            <v>869033856.31709325</v>
          </cell>
          <cell r="AP21">
            <v>972896267.91542494</v>
          </cell>
          <cell r="AQ21">
            <v>893770739.54206049</v>
          </cell>
          <cell r="AR21">
            <v>808077223.36574638</v>
          </cell>
          <cell r="AS21">
            <v>870486065.88313663</v>
          </cell>
          <cell r="AT21">
            <v>876794723.06858552</v>
          </cell>
          <cell r="AU21">
            <v>825394519.71932983</v>
          </cell>
          <cell r="AV21">
            <v>784654423.62047637</v>
          </cell>
          <cell r="AW21">
            <v>915257323.39609957</v>
          </cell>
          <cell r="AX21">
            <v>1117113080.0807366</v>
          </cell>
          <cell r="AY21">
            <v>1273375078.4484448</v>
          </cell>
          <cell r="AZ21">
            <v>1356199386.7962928</v>
          </cell>
          <cell r="BA21">
            <v>1611835856.5927505</v>
          </cell>
          <cell r="BB21">
            <v>1781455140.3420186</v>
          </cell>
          <cell r="BC21">
            <v>2032135191.4621105</v>
          </cell>
          <cell r="BD21">
            <v>2235820808.7290778</v>
          </cell>
          <cell r="BE21">
            <v>2333341334.4575348</v>
          </cell>
          <cell r="BF21">
            <v>2451606631.7669597</v>
          </cell>
          <cell r="BG21">
            <v>2705783330.3879633</v>
          </cell>
          <cell r="BH21">
            <v>3104003545.6067519</v>
          </cell>
          <cell r="BI21">
            <v>2644487777.236928</v>
          </cell>
          <cell r="BJ21">
            <v>2723586962.1868644</v>
          </cell>
          <cell r="BK21">
            <v>2667182198.9792466</v>
          </cell>
          <cell r="BL21">
            <v>2576518879.3988056</v>
          </cell>
          <cell r="BM21">
            <v>2649680261.0109677</v>
          </cell>
        </row>
        <row r="22">
          <cell r="B22" t="str">
            <v>BEL</v>
          </cell>
          <cell r="C22" t="str">
            <v>GDP (current US$)</v>
          </cell>
          <cell r="D22" t="str">
            <v>NY.GDP.MKTP.CD</v>
          </cell>
          <cell r="E22">
            <v>11658722590.990019</v>
          </cell>
          <cell r="F22">
            <v>12400145221.594988</v>
          </cell>
          <cell r="G22">
            <v>13264015675.319344</v>
          </cell>
          <cell r="H22">
            <v>14260017387.049244</v>
          </cell>
          <cell r="I22">
            <v>15960106680.673218</v>
          </cell>
          <cell r="J22">
            <v>17371457607.937378</v>
          </cell>
          <cell r="K22">
            <v>18651883472.480846</v>
          </cell>
          <cell r="L22">
            <v>19992040788.45929</v>
          </cell>
          <cell r="M22">
            <v>21376353113.474991</v>
          </cell>
          <cell r="N22">
            <v>23710735894.702213</v>
          </cell>
          <cell r="O22">
            <v>26706196046.79306</v>
          </cell>
          <cell r="P22">
            <v>29821661869.912014</v>
          </cell>
          <cell r="Q22">
            <v>37209418018.513428</v>
          </cell>
          <cell r="R22">
            <v>47743801490.374664</v>
          </cell>
          <cell r="S22">
            <v>56033077879.03894</v>
          </cell>
          <cell r="T22">
            <v>65678189097.290779</v>
          </cell>
          <cell r="U22">
            <v>71113882967.607101</v>
          </cell>
          <cell r="V22">
            <v>82839905458.638153</v>
          </cell>
          <cell r="W22">
            <v>101246526194.44089</v>
          </cell>
          <cell r="X22">
            <v>116315456796.918</v>
          </cell>
          <cell r="Y22">
            <v>126829314388.19148</v>
          </cell>
          <cell r="Z22">
            <v>104730018470.23033</v>
          </cell>
          <cell r="AA22">
            <v>92095926187.533112</v>
          </cell>
          <cell r="AB22">
            <v>87184239053.25444</v>
          </cell>
          <cell r="AC22">
            <v>83349530159.173416</v>
          </cell>
          <cell r="AD22">
            <v>86268264148.379639</v>
          </cell>
          <cell r="AE22">
            <v>120018787249.41304</v>
          </cell>
          <cell r="AF22">
            <v>149394404105.8887</v>
          </cell>
          <cell r="AG22">
            <v>162299103675.26056</v>
          </cell>
          <cell r="AH22">
            <v>164221056511.05652</v>
          </cell>
          <cell r="AI22">
            <v>205331747947.85129</v>
          </cell>
          <cell r="AJ22">
            <v>210510999409.33255</v>
          </cell>
          <cell r="AK22">
            <v>234781652446.67502</v>
          </cell>
          <cell r="AL22">
            <v>224721795708.95523</v>
          </cell>
          <cell r="AM22">
            <v>244884129491.19846</v>
          </cell>
          <cell r="AN22">
            <v>288025588396.27808</v>
          </cell>
          <cell r="AO22">
            <v>279201433224.75574</v>
          </cell>
          <cell r="AP22">
            <v>252708051420.83896</v>
          </cell>
          <cell r="AQ22">
            <v>258528339631.02911</v>
          </cell>
          <cell r="AR22">
            <v>258245733221.46774</v>
          </cell>
          <cell r="AS22">
            <v>236792460312.4711</v>
          </cell>
          <cell r="AT22">
            <v>236746141604.37036</v>
          </cell>
          <cell r="AU22">
            <v>258383599375.17694</v>
          </cell>
          <cell r="AV22">
            <v>318082528506.58759</v>
          </cell>
          <cell r="AW22">
            <v>369214712443.20557</v>
          </cell>
          <cell r="AX22">
            <v>385714762230.03876</v>
          </cell>
          <cell r="AY22">
            <v>408259840868.82294</v>
          </cell>
          <cell r="AZ22">
            <v>470922156309.45251</v>
          </cell>
          <cell r="BA22">
            <v>517328087920.078</v>
          </cell>
          <cell r="BB22">
            <v>483254171097.81219</v>
          </cell>
          <cell r="BC22">
            <v>481420882905.01239</v>
          </cell>
          <cell r="BD22">
            <v>523330354138.13696</v>
          </cell>
          <cell r="BE22">
            <v>496152879924.72668</v>
          </cell>
          <cell r="BF22">
            <v>521791015247.06445</v>
          </cell>
          <cell r="BG22">
            <v>535390200131.00922</v>
          </cell>
          <cell r="BH22">
            <v>462335574841.48413</v>
          </cell>
          <cell r="BI22">
            <v>476062757356.94043</v>
          </cell>
          <cell r="BJ22">
            <v>502764720556.35834</v>
          </cell>
          <cell r="BK22">
            <v>543299066998.89191</v>
          </cell>
          <cell r="BL22">
            <v>535865692402.34247</v>
          </cell>
          <cell r="BM22">
            <v>525213067068.31927</v>
          </cell>
        </row>
        <row r="23">
          <cell r="B23" t="str">
            <v>BEN</v>
          </cell>
          <cell r="C23" t="str">
            <v>GDP (current US$)</v>
          </cell>
          <cell r="D23" t="str">
            <v>NY.GDP.MKTP.CD</v>
          </cell>
          <cell r="E23">
            <v>226195578.06700614</v>
          </cell>
          <cell r="F23">
            <v>235668220.87222546</v>
          </cell>
          <cell r="G23">
            <v>236434954.34105867</v>
          </cell>
          <cell r="H23">
            <v>253927697.57302842</v>
          </cell>
          <cell r="I23">
            <v>269819005.7911002</v>
          </cell>
          <cell r="J23">
            <v>289908680.18067563</v>
          </cell>
          <cell r="K23">
            <v>302925235.69742835</v>
          </cell>
          <cell r="L23">
            <v>306221953.36472392</v>
          </cell>
          <cell r="M23">
            <v>326323105.58513045</v>
          </cell>
          <cell r="N23">
            <v>330748244.09269577</v>
          </cell>
          <cell r="O23">
            <v>333627713.4620356</v>
          </cell>
          <cell r="P23">
            <v>335073027.92408013</v>
          </cell>
          <cell r="Q23">
            <v>410331856.23796862</v>
          </cell>
          <cell r="R23">
            <v>504376074.0652613</v>
          </cell>
          <cell r="S23">
            <v>554654861.53713989</v>
          </cell>
          <cell r="T23">
            <v>676870139.26384759</v>
          </cell>
          <cell r="U23">
            <v>698408261.14167309</v>
          </cell>
          <cell r="V23">
            <v>750049780.16391551</v>
          </cell>
          <cell r="W23">
            <v>928843468.46871424</v>
          </cell>
          <cell r="X23">
            <v>1186231018.3573058</v>
          </cell>
          <cell r="Y23">
            <v>1405251843.7822111</v>
          </cell>
          <cell r="Z23">
            <v>1291120190.5676408</v>
          </cell>
          <cell r="AA23">
            <v>1267778671.5203319</v>
          </cell>
          <cell r="AB23">
            <v>1095348199.3683209</v>
          </cell>
          <cell r="AC23">
            <v>1051134009.2997504</v>
          </cell>
          <cell r="AD23">
            <v>1045712789.8201042</v>
          </cell>
          <cell r="AE23">
            <v>1336102026.9964638</v>
          </cell>
          <cell r="AF23">
            <v>1562412225.8133965</v>
          </cell>
          <cell r="AG23">
            <v>1620246084.7773345</v>
          </cell>
          <cell r="AH23">
            <v>1502294413.8736217</v>
          </cell>
          <cell r="AI23">
            <v>1959965330.4759636</v>
          </cell>
          <cell r="AJ23">
            <v>1986437797.8767164</v>
          </cell>
          <cell r="AK23">
            <v>1695315305.7030787</v>
          </cell>
          <cell r="AL23">
            <v>2274558078.7448611</v>
          </cell>
          <cell r="AM23">
            <v>1598075944.858763</v>
          </cell>
          <cell r="AN23">
            <v>2169627138.3496671</v>
          </cell>
          <cell r="AO23">
            <v>2361116448.1352534</v>
          </cell>
          <cell r="AP23">
            <v>2268301645.0936732</v>
          </cell>
          <cell r="AQ23">
            <v>2455092688.1476712</v>
          </cell>
          <cell r="AR23">
            <v>3677393996.8378849</v>
          </cell>
          <cell r="AS23">
            <v>3519991440.323668</v>
          </cell>
          <cell r="AT23">
            <v>3666222633.8361039</v>
          </cell>
          <cell r="AU23">
            <v>4194342689.262836</v>
          </cell>
          <cell r="AV23">
            <v>5349258092.8914747</v>
          </cell>
          <cell r="AW23">
            <v>6190270377.0758286</v>
          </cell>
          <cell r="AX23">
            <v>6567654958.7533731</v>
          </cell>
          <cell r="AY23">
            <v>7034111316.2995081</v>
          </cell>
          <cell r="AZ23">
            <v>8169048374.7084599</v>
          </cell>
          <cell r="BA23">
            <v>9787734516.7418633</v>
          </cell>
          <cell r="BB23">
            <v>9738626509.9336758</v>
          </cell>
          <cell r="BC23">
            <v>9535345011.4872761</v>
          </cell>
          <cell r="BD23">
            <v>10693321370.035208</v>
          </cell>
          <cell r="BE23">
            <v>11141358105.986389</v>
          </cell>
          <cell r="BF23">
            <v>12517845127.67664</v>
          </cell>
          <cell r="BG23">
            <v>13284527850.262655</v>
          </cell>
          <cell r="BH23">
            <v>11388160997.108755</v>
          </cell>
          <cell r="BI23">
            <v>11821065852.12697</v>
          </cell>
          <cell r="BJ23">
            <v>12701655845.962154</v>
          </cell>
          <cell r="BK23">
            <v>14262408079.700474</v>
          </cell>
          <cell r="BL23">
            <v>14391686309.033735</v>
          </cell>
          <cell r="BM23">
            <v>15651545208.87711</v>
          </cell>
        </row>
        <row r="24">
          <cell r="B24" t="str">
            <v>BFA</v>
          </cell>
          <cell r="C24" t="str">
            <v>GDP (current US$)</v>
          </cell>
          <cell r="D24" t="str">
            <v>NY.GDP.MKTP.CD</v>
          </cell>
          <cell r="E24">
            <v>330442815.28432792</v>
          </cell>
          <cell r="F24">
            <v>350247234.80171943</v>
          </cell>
          <cell r="G24">
            <v>379567099.73501694</v>
          </cell>
          <cell r="H24">
            <v>394040667.59511411</v>
          </cell>
          <cell r="I24">
            <v>410321644.83254784</v>
          </cell>
          <cell r="J24">
            <v>422916789.38984543</v>
          </cell>
          <cell r="K24">
            <v>433889767.02067566</v>
          </cell>
          <cell r="L24">
            <v>450753923.93048888</v>
          </cell>
          <cell r="M24">
            <v>460442689.82842177</v>
          </cell>
          <cell r="N24">
            <v>478298644.74758506</v>
          </cell>
          <cell r="O24">
            <v>458404268.71744996</v>
          </cell>
          <cell r="P24">
            <v>482411179.67246133</v>
          </cell>
          <cell r="Q24">
            <v>578595520.92800272</v>
          </cell>
          <cell r="R24">
            <v>674773569.71640849</v>
          </cell>
          <cell r="S24">
            <v>751133431.57949579</v>
          </cell>
          <cell r="T24">
            <v>939972701.96643996</v>
          </cell>
          <cell r="U24">
            <v>976547186.96335602</v>
          </cell>
          <cell r="V24">
            <v>1131224880.1843352</v>
          </cell>
          <cell r="W24">
            <v>1475583643.4062777</v>
          </cell>
          <cell r="X24">
            <v>1748480618.3673482</v>
          </cell>
          <cell r="Y24">
            <v>1928719884.4211416</v>
          </cell>
          <cell r="Z24">
            <v>1775842336.5091577</v>
          </cell>
          <cell r="AA24">
            <v>1754450097.8443251</v>
          </cell>
          <cell r="AB24">
            <v>1600278605.1512299</v>
          </cell>
          <cell r="AC24">
            <v>1459880132.8493359</v>
          </cell>
          <cell r="AD24">
            <v>1552493197.2808278</v>
          </cell>
          <cell r="AE24">
            <v>2036303360.3007455</v>
          </cell>
          <cell r="AF24">
            <v>2369834946.5665455</v>
          </cell>
          <cell r="AG24">
            <v>2616040480.5795212</v>
          </cell>
          <cell r="AH24">
            <v>2615587729.9726515</v>
          </cell>
          <cell r="AI24">
            <v>3101300779.0836363</v>
          </cell>
          <cell r="AJ24">
            <v>3135045586.2084475</v>
          </cell>
          <cell r="AK24">
            <v>3356692508.3456955</v>
          </cell>
          <cell r="AL24">
            <v>3199536459.5834332</v>
          </cell>
          <cell r="AM24">
            <v>1895290638.2703836</v>
          </cell>
          <cell r="AN24">
            <v>2379517975.7510338</v>
          </cell>
          <cell r="AO24">
            <v>2586550594.0322161</v>
          </cell>
          <cell r="AP24">
            <v>2447669100.4697833</v>
          </cell>
          <cell r="AQ24">
            <v>2804902369.2039771</v>
          </cell>
          <cell r="AR24">
            <v>3389566710.9026561</v>
          </cell>
          <cell r="AS24">
            <v>2968370087.4664931</v>
          </cell>
          <cell r="AT24">
            <v>3190371079.8141141</v>
          </cell>
          <cell r="AU24">
            <v>3622350065.5903015</v>
          </cell>
          <cell r="AV24">
            <v>4740768141.2650013</v>
          </cell>
          <cell r="AW24">
            <v>5451688534.5952406</v>
          </cell>
          <cell r="AX24">
            <v>6146353177.4336653</v>
          </cell>
          <cell r="AY24">
            <v>6547419821.6948614</v>
          </cell>
          <cell r="AZ24">
            <v>7625722829.1789246</v>
          </cell>
          <cell r="BA24">
            <v>9451435480.943222</v>
          </cell>
          <cell r="BB24">
            <v>9450696866.4827595</v>
          </cell>
          <cell r="BC24">
            <v>10109619736.144173</v>
          </cell>
          <cell r="BD24">
            <v>12080295984.768187</v>
          </cell>
          <cell r="BE24">
            <v>12561015145.392529</v>
          </cell>
          <cell r="BF24">
            <v>13444300489.863441</v>
          </cell>
          <cell r="BG24">
            <v>13943016080.264626</v>
          </cell>
          <cell r="BH24">
            <v>11832159315.977814</v>
          </cell>
          <cell r="BI24">
            <v>12833363043.971859</v>
          </cell>
          <cell r="BJ24">
            <v>14106955625.357096</v>
          </cell>
          <cell r="BK24">
            <v>15890066209.895901</v>
          </cell>
          <cell r="BL24">
            <v>16178161666.133354</v>
          </cell>
          <cell r="BM24">
            <v>17933606212.629368</v>
          </cell>
        </row>
        <row r="25">
          <cell r="B25" t="str">
            <v>BGD</v>
          </cell>
          <cell r="C25" t="str">
            <v>GDP (current US$)</v>
          </cell>
          <cell r="D25" t="str">
            <v>NY.GDP.MKTP.CD</v>
          </cell>
          <cell r="E25">
            <v>4274893913.4953609</v>
          </cell>
          <cell r="F25">
            <v>4817580183.6015539</v>
          </cell>
          <cell r="G25">
            <v>5081413339.7863493</v>
          </cell>
          <cell r="H25">
            <v>5319458351.1623526</v>
          </cell>
          <cell r="I25">
            <v>5386054619.3498726</v>
          </cell>
          <cell r="J25">
            <v>5906636557.0009193</v>
          </cell>
          <cell r="K25">
            <v>6439687598.323245</v>
          </cell>
          <cell r="L25">
            <v>7253575399.3214951</v>
          </cell>
          <cell r="M25">
            <v>7483685473.5127468</v>
          </cell>
          <cell r="N25">
            <v>8471006100.9539871</v>
          </cell>
          <cell r="O25">
            <v>8992721809.3933239</v>
          </cell>
          <cell r="P25">
            <v>8751842839.7965775</v>
          </cell>
          <cell r="Q25">
            <v>6288245866.666667</v>
          </cell>
          <cell r="R25">
            <v>8086725729.3407021</v>
          </cell>
          <cell r="S25">
            <v>12512460519.708761</v>
          </cell>
          <cell r="T25">
            <v>19448348073.456512</v>
          </cell>
          <cell r="U25">
            <v>10117113333.333334</v>
          </cell>
          <cell r="V25">
            <v>9651149301.8745956</v>
          </cell>
          <cell r="W25">
            <v>13281767142.857143</v>
          </cell>
          <cell r="X25">
            <v>15565480321.944809</v>
          </cell>
          <cell r="Y25">
            <v>18138049095.607235</v>
          </cell>
          <cell r="Z25">
            <v>20249694002.447979</v>
          </cell>
          <cell r="AA25">
            <v>18525399201.596806</v>
          </cell>
          <cell r="AB25">
            <v>17609048821.54882</v>
          </cell>
          <cell r="AC25">
            <v>18920840000</v>
          </cell>
          <cell r="AD25">
            <v>22278423076.923077</v>
          </cell>
          <cell r="AE25">
            <v>21774033333.333332</v>
          </cell>
          <cell r="AF25">
            <v>24298032258.064518</v>
          </cell>
          <cell r="AG25">
            <v>26579005760.263416</v>
          </cell>
          <cell r="AH25">
            <v>28781714763.890862</v>
          </cell>
          <cell r="AI25">
            <v>31598341233.462959</v>
          </cell>
          <cell r="AJ25">
            <v>30957483949.57983</v>
          </cell>
          <cell r="AK25">
            <v>31708874594.164455</v>
          </cell>
          <cell r="AL25">
            <v>33166519417.989422</v>
          </cell>
          <cell r="AM25">
            <v>33768660882.793015</v>
          </cell>
          <cell r="AN25">
            <v>37939748768.656715</v>
          </cell>
          <cell r="AO25">
            <v>46438484107.57946</v>
          </cell>
          <cell r="AP25">
            <v>48244309133.489456</v>
          </cell>
          <cell r="AQ25">
            <v>49984559471.365639</v>
          </cell>
          <cell r="AR25">
            <v>51270569883.527458</v>
          </cell>
          <cell r="AS25">
            <v>53369787318.624527</v>
          </cell>
          <cell r="AT25">
            <v>53991289844.329132</v>
          </cell>
          <cell r="AU25">
            <v>54724081490.510185</v>
          </cell>
          <cell r="AV25">
            <v>60158929188.255615</v>
          </cell>
          <cell r="AW25">
            <v>65108544250.042473</v>
          </cell>
          <cell r="AX25">
            <v>69442943089.430893</v>
          </cell>
          <cell r="AY25">
            <v>71819083683.740326</v>
          </cell>
          <cell r="AZ25">
            <v>79611888213.14798</v>
          </cell>
          <cell r="BA25">
            <v>91631278239.323715</v>
          </cell>
          <cell r="BB25">
            <v>102477779060.30183</v>
          </cell>
          <cell r="BC25">
            <v>115279077465.22643</v>
          </cell>
          <cell r="BD25">
            <v>128637983882.83327</v>
          </cell>
          <cell r="BE25">
            <v>133355819704.93626</v>
          </cell>
          <cell r="BF25">
            <v>149990529207.54416</v>
          </cell>
          <cell r="BG25">
            <v>172885432686.94452</v>
          </cell>
          <cell r="BH25">
            <v>195078574089.06674</v>
          </cell>
          <cell r="BI25">
            <v>265236389198.94849</v>
          </cell>
          <cell r="BJ25">
            <v>293754769935.14813</v>
          </cell>
          <cell r="BK25">
            <v>321379163135.64716</v>
          </cell>
          <cell r="BL25">
            <v>351238397263.80243</v>
          </cell>
          <cell r="BM25">
            <v>373902196399.31653</v>
          </cell>
        </row>
        <row r="26">
          <cell r="B26" t="str">
            <v>BGR</v>
          </cell>
          <cell r="C26" t="str">
            <v>GDP (current US$)</v>
          </cell>
          <cell r="D26" t="str">
            <v>NY.GDP.MKTP.CD</v>
          </cell>
          <cell r="Y26">
            <v>19839230769.23077</v>
          </cell>
          <cell r="Z26">
            <v>19870000000</v>
          </cell>
          <cell r="AA26">
            <v>19342000000</v>
          </cell>
          <cell r="AB26">
            <v>16563666666.666668</v>
          </cell>
          <cell r="AC26">
            <v>17594944444.444447</v>
          </cell>
          <cell r="AD26">
            <v>17155421052.631578</v>
          </cell>
          <cell r="AE26">
            <v>20249294117.64706</v>
          </cell>
          <cell r="AF26">
            <v>28101000000</v>
          </cell>
          <cell r="AG26">
            <v>22555941176.470589</v>
          </cell>
          <cell r="AH26">
            <v>21988444444.444447</v>
          </cell>
          <cell r="AI26">
            <v>20632090909.090908</v>
          </cell>
          <cell r="AJ26">
            <v>10943548387.096775</v>
          </cell>
          <cell r="AK26">
            <v>10350515463.917526</v>
          </cell>
          <cell r="AL26">
            <v>10832228507.231464</v>
          </cell>
          <cell r="AM26">
            <v>9697416974.1697426</v>
          </cell>
          <cell r="AN26">
            <v>18991531542.708279</v>
          </cell>
          <cell r="AO26">
            <v>12294987876.312128</v>
          </cell>
          <cell r="AP26">
            <v>11316126257.583881</v>
          </cell>
          <cell r="AQ26">
            <v>15031052200.54632</v>
          </cell>
          <cell r="AR26">
            <v>13627325461.174295</v>
          </cell>
          <cell r="AS26">
            <v>13245990274.45809</v>
          </cell>
          <cell r="AT26">
            <v>14183443861.69018</v>
          </cell>
          <cell r="AU26">
            <v>16403043849.829679</v>
          </cell>
          <cell r="AV26">
            <v>21144962058.288509</v>
          </cell>
          <cell r="AW26">
            <v>26157744752.78344</v>
          </cell>
          <cell r="AX26">
            <v>29868651533.118816</v>
          </cell>
          <cell r="AY26">
            <v>34380543845.397339</v>
          </cell>
          <cell r="AZ26">
            <v>44432811756.473053</v>
          </cell>
          <cell r="BA26">
            <v>54480697770.077271</v>
          </cell>
          <cell r="BB26">
            <v>52023813557.815796</v>
          </cell>
          <cell r="BC26">
            <v>50754203890.734085</v>
          </cell>
          <cell r="BD26">
            <v>57735709913.885132</v>
          </cell>
          <cell r="BE26">
            <v>54290156342.376671</v>
          </cell>
          <cell r="BF26">
            <v>55844245263.801186</v>
          </cell>
          <cell r="BG26">
            <v>57159557804.646111</v>
          </cell>
          <cell r="BH26">
            <v>50828088835.942818</v>
          </cell>
          <cell r="BI26">
            <v>53987487124.342072</v>
          </cell>
          <cell r="BJ26">
            <v>59343060705.827988</v>
          </cell>
          <cell r="BK26">
            <v>66399602077.169258</v>
          </cell>
          <cell r="BL26">
            <v>68911930627.897659</v>
          </cell>
          <cell r="BM26">
            <v>70404359049.232025</v>
          </cell>
        </row>
        <row r="27">
          <cell r="B27" t="str">
            <v>BHR</v>
          </cell>
          <cell r="C27" t="str">
            <v>GDP (current US$)</v>
          </cell>
          <cell r="D27" t="str">
            <v>NY.GDP.MKTP.CD</v>
          </cell>
          <cell r="Y27">
            <v>3072698328.46909</v>
          </cell>
          <cell r="Z27">
            <v>3467819158.1590939</v>
          </cell>
          <cell r="AA27">
            <v>3645744690.5471935</v>
          </cell>
          <cell r="AB27">
            <v>3735106392.9125171</v>
          </cell>
          <cell r="AC27">
            <v>3905585110.7109795</v>
          </cell>
          <cell r="AD27">
            <v>3651861702.1276598</v>
          </cell>
          <cell r="AE27">
            <v>3052393617.0212765</v>
          </cell>
          <cell r="AF27">
            <v>3392021010.638298</v>
          </cell>
          <cell r="AG27">
            <v>3702393617.0212765</v>
          </cell>
          <cell r="AH27">
            <v>3863563829.7872338</v>
          </cell>
          <cell r="AI27">
            <v>4229787234.0425529</v>
          </cell>
          <cell r="AJ27">
            <v>4616223404.2553196</v>
          </cell>
          <cell r="AK27">
            <v>4751063829.7872343</v>
          </cell>
          <cell r="AL27">
            <v>5200266107.2771664</v>
          </cell>
          <cell r="AM27">
            <v>5567553975.7031622</v>
          </cell>
          <cell r="AN27">
            <v>5849468272.8975887</v>
          </cell>
          <cell r="AO27">
            <v>6101861963.5917921</v>
          </cell>
          <cell r="AP27">
            <v>6349202984.6332569</v>
          </cell>
          <cell r="AQ27">
            <v>6183777212.4777803</v>
          </cell>
          <cell r="AR27">
            <v>6621010739.1960678</v>
          </cell>
          <cell r="AS27">
            <v>9062898936.1702118</v>
          </cell>
          <cell r="AT27">
            <v>8976196808.5106392</v>
          </cell>
          <cell r="AU27">
            <v>9593510638.2978725</v>
          </cell>
          <cell r="AV27">
            <v>11074813829.787233</v>
          </cell>
          <cell r="AW27">
            <v>13150159574.468084</v>
          </cell>
          <cell r="AX27">
            <v>15968723404.25532</v>
          </cell>
          <cell r="AY27">
            <v>18504760638.297871</v>
          </cell>
          <cell r="AZ27">
            <v>21730000000</v>
          </cell>
          <cell r="BA27">
            <v>25710904255.319149</v>
          </cell>
          <cell r="BB27">
            <v>22938218085.106384</v>
          </cell>
          <cell r="BC27">
            <v>25713271276.595745</v>
          </cell>
          <cell r="BD27">
            <v>28776595744.680851</v>
          </cell>
          <cell r="BE27">
            <v>30749308510.638298</v>
          </cell>
          <cell r="BF27">
            <v>32539468085.106384</v>
          </cell>
          <cell r="BG27">
            <v>33387712765.957447</v>
          </cell>
          <cell r="BH27">
            <v>31050638297.872341</v>
          </cell>
          <cell r="BI27">
            <v>32234973404.255318</v>
          </cell>
          <cell r="BJ27">
            <v>35473776595.744682</v>
          </cell>
          <cell r="BK27">
            <v>37802005319.148933</v>
          </cell>
          <cell r="BL27">
            <v>38653318085.106384</v>
          </cell>
          <cell r="BM27">
            <v>34621807712.765961</v>
          </cell>
        </row>
        <row r="28">
          <cell r="B28" t="str">
            <v>BHS</v>
          </cell>
          <cell r="C28" t="str">
            <v>GDP (current US$)</v>
          </cell>
          <cell r="D28" t="str">
            <v>NY.GDP.MKTP.CD</v>
          </cell>
          <cell r="E28">
            <v>169803921.56862745</v>
          </cell>
          <cell r="F28">
            <v>190098039.21568626</v>
          </cell>
          <cell r="G28">
            <v>212254901.96078432</v>
          </cell>
          <cell r="H28">
            <v>237745098.03921568</v>
          </cell>
          <cell r="I28">
            <v>266666666.66666666</v>
          </cell>
          <cell r="J28">
            <v>300392156.86274511</v>
          </cell>
          <cell r="K28">
            <v>340000000</v>
          </cell>
          <cell r="L28">
            <v>390196078.43137252</v>
          </cell>
          <cell r="M28">
            <v>444901960.78431374</v>
          </cell>
          <cell r="N28">
            <v>528137254.90196079</v>
          </cell>
          <cell r="O28">
            <v>538423153.69261479</v>
          </cell>
          <cell r="P28">
            <v>573400000</v>
          </cell>
          <cell r="Q28">
            <v>590900000</v>
          </cell>
          <cell r="R28">
            <v>670900000</v>
          </cell>
          <cell r="S28">
            <v>632400000</v>
          </cell>
          <cell r="T28">
            <v>596200000</v>
          </cell>
          <cell r="U28">
            <v>642100000</v>
          </cell>
          <cell r="V28">
            <v>713000000</v>
          </cell>
          <cell r="W28">
            <v>832400000</v>
          </cell>
          <cell r="X28">
            <v>1139800100</v>
          </cell>
          <cell r="Y28">
            <v>1335300000</v>
          </cell>
          <cell r="Z28">
            <v>1426500000</v>
          </cell>
          <cell r="AA28">
            <v>1578300000</v>
          </cell>
          <cell r="AB28">
            <v>1732800000</v>
          </cell>
          <cell r="AC28">
            <v>2041100000</v>
          </cell>
          <cell r="AD28">
            <v>2320699900</v>
          </cell>
          <cell r="AE28">
            <v>2472500000</v>
          </cell>
          <cell r="AF28">
            <v>2713999900</v>
          </cell>
          <cell r="AG28">
            <v>2817900000</v>
          </cell>
          <cell r="AH28">
            <v>3062000000</v>
          </cell>
          <cell r="AI28">
            <v>3166000000</v>
          </cell>
          <cell r="AJ28">
            <v>3111160000</v>
          </cell>
          <cell r="AK28">
            <v>3109000000</v>
          </cell>
          <cell r="AL28">
            <v>3092000000</v>
          </cell>
          <cell r="AM28">
            <v>3259000000</v>
          </cell>
          <cell r="AN28">
            <v>3429000000</v>
          </cell>
          <cell r="AO28">
            <v>3609000000</v>
          </cell>
          <cell r="AP28">
            <v>6332360000</v>
          </cell>
          <cell r="AQ28">
            <v>6833220000</v>
          </cell>
          <cell r="AR28">
            <v>7683870000</v>
          </cell>
          <cell r="AS28">
            <v>8076470000</v>
          </cell>
          <cell r="AT28">
            <v>8317830000</v>
          </cell>
          <cell r="AU28">
            <v>8881160000</v>
          </cell>
          <cell r="AV28">
            <v>8870090000</v>
          </cell>
          <cell r="AW28">
            <v>9055290000</v>
          </cell>
          <cell r="AX28">
            <v>9836200000</v>
          </cell>
          <cell r="AY28">
            <v>10167250000</v>
          </cell>
          <cell r="AZ28">
            <v>10618340000</v>
          </cell>
          <cell r="BA28">
            <v>10526000000</v>
          </cell>
          <cell r="BB28">
            <v>9981960000</v>
          </cell>
          <cell r="BC28">
            <v>10095760000</v>
          </cell>
          <cell r="BD28">
            <v>10070450000</v>
          </cell>
          <cell r="BE28">
            <v>10720500000</v>
          </cell>
          <cell r="BF28">
            <v>10562800000</v>
          </cell>
          <cell r="BG28">
            <v>11176100000</v>
          </cell>
          <cell r="BH28">
            <v>11672900000</v>
          </cell>
          <cell r="BI28">
            <v>11750800000</v>
          </cell>
          <cell r="BJ28">
            <v>12253500000</v>
          </cell>
          <cell r="BK28">
            <v>12653600000</v>
          </cell>
          <cell r="BL28">
            <v>13058700000</v>
          </cell>
          <cell r="BM28">
            <v>9754600000</v>
          </cell>
        </row>
        <row r="29">
          <cell r="B29" t="str">
            <v>BIH</v>
          </cell>
          <cell r="C29" t="str">
            <v>GDP (current US$)</v>
          </cell>
          <cell r="D29" t="str">
            <v>NY.GDP.MKTP.CD</v>
          </cell>
          <cell r="AM29">
            <v>1255802469.1358023</v>
          </cell>
          <cell r="AN29">
            <v>1866572953.7366548</v>
          </cell>
          <cell r="AO29">
            <v>2786045321.6374269</v>
          </cell>
          <cell r="AP29">
            <v>3671910025.9651456</v>
          </cell>
          <cell r="AQ29">
            <v>4116775275.4059548</v>
          </cell>
          <cell r="AR29">
            <v>4686255380.5259266</v>
          </cell>
          <cell r="AS29">
            <v>5567774049.095335</v>
          </cell>
          <cell r="AT29">
            <v>5800616572.1644373</v>
          </cell>
          <cell r="AU29">
            <v>6728219506.7394323</v>
          </cell>
          <cell r="AV29">
            <v>8498893357.9602509</v>
          </cell>
          <cell r="AW29">
            <v>10156541358.178688</v>
          </cell>
          <cell r="AX29">
            <v>11222796196.678875</v>
          </cell>
          <cell r="AY29">
            <v>12864842268.543501</v>
          </cell>
          <cell r="AZ29">
            <v>15778737117.298706</v>
          </cell>
          <cell r="BA29">
            <v>19112801196.858318</v>
          </cell>
          <cell r="BB29">
            <v>17613946109.018719</v>
          </cell>
          <cell r="BC29">
            <v>17176320823.189215</v>
          </cell>
          <cell r="BD29">
            <v>18644239027.714008</v>
          </cell>
          <cell r="BE29">
            <v>17226736284.823196</v>
          </cell>
          <cell r="BF29">
            <v>18179104548.880371</v>
          </cell>
          <cell r="BG29">
            <v>18558731212.866611</v>
          </cell>
          <cell r="BH29">
            <v>16404352155.613997</v>
          </cell>
          <cell r="BI29">
            <v>17116926092.390501</v>
          </cell>
          <cell r="BJ29">
            <v>18326376394.079632</v>
          </cell>
          <cell r="BK29">
            <v>20484048415.501945</v>
          </cell>
          <cell r="BL29">
            <v>20482603346.447266</v>
          </cell>
          <cell r="BM29">
            <v>20226030731.013092</v>
          </cell>
        </row>
        <row r="30">
          <cell r="B30" t="str">
            <v>BLR</v>
          </cell>
          <cell r="C30" t="str">
            <v>GDP (current US$)</v>
          </cell>
          <cell r="D30" t="str">
            <v>NY.GDP.MKTP.CD</v>
          </cell>
          <cell r="AI30">
            <v>21650000000</v>
          </cell>
          <cell r="AJ30">
            <v>18000000000</v>
          </cell>
          <cell r="AK30">
            <v>17037037037.037037</v>
          </cell>
          <cell r="AL30">
            <v>16280991735.537191</v>
          </cell>
          <cell r="AM30">
            <v>14932024169.18429</v>
          </cell>
          <cell r="AN30">
            <v>13972676840.917984</v>
          </cell>
          <cell r="AO30">
            <v>14756846153.846155</v>
          </cell>
          <cell r="AP30">
            <v>14128408565.706362</v>
          </cell>
          <cell r="AQ30">
            <v>15222012660.42317</v>
          </cell>
          <cell r="AR30">
            <v>12138486532.020298</v>
          </cell>
          <cell r="AS30">
            <v>12736856827.984661</v>
          </cell>
          <cell r="AT30">
            <v>12354820143.884892</v>
          </cell>
          <cell r="AU30">
            <v>14594928109.441133</v>
          </cell>
          <cell r="AV30">
            <v>17825437482.861263</v>
          </cell>
          <cell r="AW30">
            <v>23141593073.97382</v>
          </cell>
          <cell r="AX30">
            <v>30210091836.829449</v>
          </cell>
          <cell r="AY30">
            <v>36961822468.201523</v>
          </cell>
          <cell r="AZ30">
            <v>45275747157.412003</v>
          </cell>
          <cell r="BA30">
            <v>60752177438.889534</v>
          </cell>
          <cell r="BB30">
            <v>50873181571.648979</v>
          </cell>
          <cell r="BC30">
            <v>57231904542.875473</v>
          </cell>
          <cell r="BD30">
            <v>61762340943.051125</v>
          </cell>
          <cell r="BE30">
            <v>65685903570.452583</v>
          </cell>
          <cell r="BF30">
            <v>75527537703.18364</v>
          </cell>
          <cell r="BG30">
            <v>78812785767.748306</v>
          </cell>
          <cell r="BH30">
            <v>56454895054.65554</v>
          </cell>
          <cell r="BI30">
            <v>47723549319.084167</v>
          </cell>
          <cell r="BJ30">
            <v>54725311690.047821</v>
          </cell>
          <cell r="BK30">
            <v>60031163987.190964</v>
          </cell>
          <cell r="BL30">
            <v>64410112583.361977</v>
          </cell>
          <cell r="BM30">
            <v>61371755326.2351</v>
          </cell>
        </row>
        <row r="31">
          <cell r="B31" t="str">
            <v>BLZ</v>
          </cell>
          <cell r="C31" t="str">
            <v>GDP (current US$)</v>
          </cell>
          <cell r="D31" t="str">
            <v>NY.GDP.MKTP.CD</v>
          </cell>
          <cell r="E31">
            <v>28072478.064056348</v>
          </cell>
          <cell r="F31">
            <v>29964999.956010487</v>
          </cell>
          <cell r="G31">
            <v>31857591.848034602</v>
          </cell>
          <cell r="H31">
            <v>33750113.739988737</v>
          </cell>
          <cell r="I31">
            <v>36194586.183727846</v>
          </cell>
          <cell r="J31">
            <v>40110040.098007128</v>
          </cell>
          <cell r="K31">
            <v>44450044.436709471</v>
          </cell>
          <cell r="L31">
            <v>47431266.65258234</v>
          </cell>
          <cell r="M31">
            <v>44999909.982179984</v>
          </cell>
          <cell r="N31">
            <v>47399905.181229584</v>
          </cell>
          <cell r="O31">
            <v>53339893.298877344</v>
          </cell>
          <cell r="P31">
            <v>59074682.95038186</v>
          </cell>
          <cell r="Q31">
            <v>65998075.725936249</v>
          </cell>
          <cell r="R31">
            <v>78214778.312037215</v>
          </cell>
          <cell r="S31">
            <v>103160463.46483822</v>
          </cell>
          <cell r="T31">
            <v>118194045.55938491</v>
          </cell>
          <cell r="U31">
            <v>97094221.485992908</v>
          </cell>
          <cell r="V31">
            <v>117650000</v>
          </cell>
          <cell r="W31">
            <v>136300000</v>
          </cell>
          <cell r="X31">
            <v>151800000</v>
          </cell>
          <cell r="Y31">
            <v>197938222.43000001</v>
          </cell>
          <cell r="Z31">
            <v>196089854.655</v>
          </cell>
          <cell r="AA31">
            <v>182206326.98500001</v>
          </cell>
          <cell r="AB31">
            <v>192103185.95499998</v>
          </cell>
          <cell r="AC31">
            <v>214381949.02000001</v>
          </cell>
          <cell r="AD31">
            <v>212643742.66499999</v>
          </cell>
          <cell r="AE31">
            <v>231638320.535</v>
          </cell>
          <cell r="AF31">
            <v>281082558.58500004</v>
          </cell>
          <cell r="AG31">
            <v>320093360.26999998</v>
          </cell>
          <cell r="AH31">
            <v>369133890.70499998</v>
          </cell>
          <cell r="AI31">
            <v>549500000</v>
          </cell>
          <cell r="AJ31">
            <v>599000000</v>
          </cell>
          <cell r="AK31">
            <v>693500000</v>
          </cell>
          <cell r="AL31">
            <v>751000000</v>
          </cell>
          <cell r="AM31">
            <v>771500000</v>
          </cell>
          <cell r="AN31">
            <v>818500000</v>
          </cell>
          <cell r="AO31">
            <v>851500000</v>
          </cell>
          <cell r="AP31">
            <v>868000000</v>
          </cell>
          <cell r="AQ31">
            <v>914000000</v>
          </cell>
          <cell r="AR31">
            <v>975000000</v>
          </cell>
          <cell r="AS31">
            <v>1116000000</v>
          </cell>
          <cell r="AT31">
            <v>1163000000</v>
          </cell>
          <cell r="AU31">
            <v>1233000000</v>
          </cell>
          <cell r="AV31">
            <v>1298000000</v>
          </cell>
          <cell r="AW31">
            <v>1389500000</v>
          </cell>
          <cell r="AX31">
            <v>1461500000</v>
          </cell>
          <cell r="AY31">
            <v>1581000000</v>
          </cell>
          <cell r="AZ31">
            <v>1696000000</v>
          </cell>
          <cell r="BA31">
            <v>1729000000</v>
          </cell>
          <cell r="BB31">
            <v>1680500000</v>
          </cell>
          <cell r="BC31">
            <v>1738500000</v>
          </cell>
          <cell r="BD31">
            <v>1819500000</v>
          </cell>
          <cell r="BE31">
            <v>1903000000</v>
          </cell>
          <cell r="BF31">
            <v>2029500000</v>
          </cell>
          <cell r="BG31">
            <v>2138000000</v>
          </cell>
          <cell r="BH31">
            <v>2210500000</v>
          </cell>
          <cell r="BI31">
            <v>2258500000</v>
          </cell>
          <cell r="BJ31">
            <v>2286000000</v>
          </cell>
          <cell r="BK31">
            <v>2315000000</v>
          </cell>
          <cell r="BL31">
            <v>2416500000</v>
          </cell>
          <cell r="BM31">
            <v>2080000000</v>
          </cell>
        </row>
        <row r="32">
          <cell r="B32" t="str">
            <v>BMU</v>
          </cell>
          <cell r="C32" t="str">
            <v>GDP (current US$)</v>
          </cell>
          <cell r="D32" t="str">
            <v>NY.GDP.MKTP.CD</v>
          </cell>
          <cell r="E32">
            <v>84466654.076911882</v>
          </cell>
          <cell r="F32">
            <v>89249986.697289482</v>
          </cell>
          <cell r="G32">
            <v>94149985.96694459</v>
          </cell>
          <cell r="H32">
            <v>96366652.303217143</v>
          </cell>
          <cell r="I32">
            <v>107566650.6338574</v>
          </cell>
          <cell r="J32">
            <v>114339048.96516557</v>
          </cell>
          <cell r="K32">
            <v>134173373.78565349</v>
          </cell>
          <cell r="L32">
            <v>155102984.62733382</v>
          </cell>
          <cell r="M32">
            <v>150000000</v>
          </cell>
          <cell r="N32">
            <v>164900000</v>
          </cell>
          <cell r="O32">
            <v>186300000</v>
          </cell>
          <cell r="P32">
            <v>211100000</v>
          </cell>
          <cell r="Q32">
            <v>235400000</v>
          </cell>
          <cell r="R32">
            <v>269500000</v>
          </cell>
          <cell r="S32">
            <v>312600000</v>
          </cell>
          <cell r="T32">
            <v>345000000</v>
          </cell>
          <cell r="U32">
            <v>386300000</v>
          </cell>
          <cell r="V32">
            <v>447000000</v>
          </cell>
          <cell r="W32">
            <v>475800000</v>
          </cell>
          <cell r="X32">
            <v>517200000.00000006</v>
          </cell>
          <cell r="Y32">
            <v>613299968</v>
          </cell>
          <cell r="Z32">
            <v>739100032</v>
          </cell>
          <cell r="AA32">
            <v>785500032</v>
          </cell>
          <cell r="AB32">
            <v>889400000</v>
          </cell>
          <cell r="AC32">
            <v>985699968</v>
          </cell>
          <cell r="AD32">
            <v>1039500031.9999999</v>
          </cell>
          <cell r="AE32">
            <v>1173500032</v>
          </cell>
          <cell r="AF32">
            <v>1296499968</v>
          </cell>
          <cell r="AG32">
            <v>1415100032</v>
          </cell>
          <cell r="AH32">
            <v>1501500032</v>
          </cell>
          <cell r="AI32">
            <v>1592400000</v>
          </cell>
          <cell r="AJ32">
            <v>1634900000</v>
          </cell>
          <cell r="AK32">
            <v>1679900000</v>
          </cell>
          <cell r="AL32">
            <v>1820359900</v>
          </cell>
          <cell r="AM32">
            <v>1867160100</v>
          </cell>
          <cell r="AN32">
            <v>2030750000</v>
          </cell>
          <cell r="AO32">
            <v>2695390000</v>
          </cell>
          <cell r="AP32">
            <v>2932827000</v>
          </cell>
          <cell r="AQ32">
            <v>3130748000</v>
          </cell>
          <cell r="AR32">
            <v>3324433000</v>
          </cell>
          <cell r="AS32">
            <v>3480219000</v>
          </cell>
          <cell r="AT32">
            <v>3680483000</v>
          </cell>
          <cell r="AU32">
            <v>3937228000</v>
          </cell>
          <cell r="AV32">
            <v>4186524999.9999995</v>
          </cell>
          <cell r="AW32">
            <v>4484703000</v>
          </cell>
          <cell r="AX32">
            <v>4868136000</v>
          </cell>
          <cell r="AY32">
            <v>6144000000</v>
          </cell>
          <cell r="AZ32">
            <v>6767000000</v>
          </cell>
          <cell r="BA32">
            <v>6980000000</v>
          </cell>
          <cell r="BB32">
            <v>6656000000</v>
          </cell>
          <cell r="BC32">
            <v>6634526000</v>
          </cell>
          <cell r="BD32">
            <v>6312691000</v>
          </cell>
          <cell r="BE32">
            <v>6378188000</v>
          </cell>
          <cell r="BF32">
            <v>6465756000</v>
          </cell>
          <cell r="BG32">
            <v>6413988000</v>
          </cell>
          <cell r="BH32">
            <v>6654541000</v>
          </cell>
          <cell r="BI32">
            <v>6899911000</v>
          </cell>
          <cell r="BJ32">
            <v>7142316000</v>
          </cell>
          <cell r="BK32">
            <v>7225977000</v>
          </cell>
          <cell r="BL32">
            <v>7423465000</v>
          </cell>
          <cell r="BM32">
            <v>6887147000</v>
          </cell>
        </row>
        <row r="33">
          <cell r="B33" t="str">
            <v>BOL</v>
          </cell>
          <cell r="C33" t="str">
            <v>GDP (current US$)</v>
          </cell>
          <cell r="D33" t="str">
            <v>NY.GDP.MKTP.CD</v>
          </cell>
          <cell r="E33">
            <v>377020202.02020204</v>
          </cell>
          <cell r="F33">
            <v>410101010.10101008</v>
          </cell>
          <cell r="G33">
            <v>448400673.40067339</v>
          </cell>
          <cell r="H33">
            <v>482828282.82828283</v>
          </cell>
          <cell r="I33">
            <v>544023569.02356899</v>
          </cell>
          <cell r="J33">
            <v>604377104.3771044</v>
          </cell>
          <cell r="K33">
            <v>669191919.19191921</v>
          </cell>
          <cell r="L33">
            <v>755808080.80808079</v>
          </cell>
          <cell r="M33">
            <v>857912457.91245794</v>
          </cell>
          <cell r="N33">
            <v>929629629.62962961</v>
          </cell>
          <cell r="O33">
            <v>1017003367.0033671</v>
          </cell>
          <cell r="P33">
            <v>1095622895.6228957</v>
          </cell>
          <cell r="Q33">
            <v>1257615644.9793155</v>
          </cell>
          <cell r="R33">
            <v>1262968515.7421288</v>
          </cell>
          <cell r="S33">
            <v>2100249875.0624688</v>
          </cell>
          <cell r="T33">
            <v>2404697651.1744127</v>
          </cell>
          <cell r="U33">
            <v>2731984007.9960022</v>
          </cell>
          <cell r="V33">
            <v>3227436281.8590703</v>
          </cell>
          <cell r="W33">
            <v>3758220889.5552225</v>
          </cell>
          <cell r="X33">
            <v>4421336382.9439707</v>
          </cell>
          <cell r="Y33">
            <v>4537487802.5025702</v>
          </cell>
          <cell r="Z33">
            <v>5891606684.8882961</v>
          </cell>
          <cell r="AA33">
            <v>5594121317.374073</v>
          </cell>
          <cell r="AB33">
            <v>5422656265.8378878</v>
          </cell>
          <cell r="AC33">
            <v>6169483188.8341722</v>
          </cell>
          <cell r="AD33">
            <v>5377276555.0688562</v>
          </cell>
          <cell r="AE33">
            <v>3959382833.0877967</v>
          </cell>
          <cell r="AF33">
            <v>4347956337.833374</v>
          </cell>
          <cell r="AG33">
            <v>4597612362.0977068</v>
          </cell>
          <cell r="AH33">
            <v>4715972853.3758478</v>
          </cell>
          <cell r="AI33">
            <v>4867582597.5232697</v>
          </cell>
          <cell r="AJ33">
            <v>5343261959.6763172</v>
          </cell>
          <cell r="AK33">
            <v>5643869230.9993076</v>
          </cell>
          <cell r="AL33">
            <v>5734699040.6596251</v>
          </cell>
          <cell r="AM33">
            <v>5981223290.3246708</v>
          </cell>
          <cell r="AN33">
            <v>6715162198.5240593</v>
          </cell>
          <cell r="AO33">
            <v>7396948397.5377436</v>
          </cell>
          <cell r="AP33">
            <v>7925736318.6367931</v>
          </cell>
          <cell r="AQ33">
            <v>8497494138.0728884</v>
          </cell>
          <cell r="AR33">
            <v>8285063959.4316225</v>
          </cell>
          <cell r="AS33">
            <v>8397855937.4684095</v>
          </cell>
          <cell r="AT33">
            <v>8141517339.1521463</v>
          </cell>
          <cell r="AU33">
            <v>7905485146.4435148</v>
          </cell>
          <cell r="AV33">
            <v>8082399991.2958288</v>
          </cell>
          <cell r="AW33">
            <v>8773451751.5120964</v>
          </cell>
          <cell r="AX33">
            <v>9549122313.3964081</v>
          </cell>
          <cell r="AY33">
            <v>11451845378.68969</v>
          </cell>
          <cell r="AZ33">
            <v>13120107738.885059</v>
          </cell>
          <cell r="BA33">
            <v>16674276979.474499</v>
          </cell>
          <cell r="BB33">
            <v>17339992193.732193</v>
          </cell>
          <cell r="BC33">
            <v>19649724655.58194</v>
          </cell>
          <cell r="BD33">
            <v>23963162969.383213</v>
          </cell>
          <cell r="BE33">
            <v>27084497481.910275</v>
          </cell>
          <cell r="BF33">
            <v>30659338885.672935</v>
          </cell>
          <cell r="BG33">
            <v>32996188017.366135</v>
          </cell>
          <cell r="BH33">
            <v>33000198248.914616</v>
          </cell>
          <cell r="BI33">
            <v>33941126193.921852</v>
          </cell>
          <cell r="BJ33">
            <v>37508642170.767006</v>
          </cell>
          <cell r="BK33">
            <v>40287647930.535454</v>
          </cell>
          <cell r="BL33">
            <v>40895322850.940666</v>
          </cell>
          <cell r="BM33">
            <v>36629843806.078148</v>
          </cell>
        </row>
        <row r="34">
          <cell r="B34" t="str">
            <v>BRA</v>
          </cell>
          <cell r="C34" t="str">
            <v>GDP (current US$)</v>
          </cell>
          <cell r="D34" t="str">
            <v>NY.GDP.MKTP.CD</v>
          </cell>
          <cell r="E34">
            <v>17030465539.390615</v>
          </cell>
          <cell r="F34">
            <v>17275940449.383743</v>
          </cell>
          <cell r="G34">
            <v>19231747851.533188</v>
          </cell>
          <cell r="H34">
            <v>23287712878.20023</v>
          </cell>
          <cell r="I34">
            <v>20963733694.974895</v>
          </cell>
          <cell r="J34">
            <v>22465522884.098793</v>
          </cell>
          <cell r="K34">
            <v>28283323733.111351</v>
          </cell>
          <cell r="L34">
            <v>31086389194.960979</v>
          </cell>
          <cell r="M34">
            <v>33930457425.261284</v>
          </cell>
          <cell r="N34">
            <v>37171640818.586319</v>
          </cell>
          <cell r="O34">
            <v>42327664793.69339</v>
          </cell>
          <cell r="P34">
            <v>48869830901.787758</v>
          </cell>
          <cell r="Q34">
            <v>58434858374.869598</v>
          </cell>
          <cell r="R34">
            <v>83592275862.998199</v>
          </cell>
          <cell r="S34">
            <v>109794519727.53831</v>
          </cell>
          <cell r="T34">
            <v>129203555238.82715</v>
          </cell>
          <cell r="U34">
            <v>153168949208.20691</v>
          </cell>
          <cell r="V34">
            <v>176344101401.94095</v>
          </cell>
          <cell r="W34">
            <v>200278646123.5813</v>
          </cell>
          <cell r="X34">
            <v>221338204480.22247</v>
          </cell>
          <cell r="Y34">
            <v>237393489892.63696</v>
          </cell>
          <cell r="Z34">
            <v>258015174748.64758</v>
          </cell>
          <cell r="AA34">
            <v>271314113768.41696</v>
          </cell>
          <cell r="AB34">
            <v>189656506321.43079</v>
          </cell>
          <cell r="AC34">
            <v>188339974086.58005</v>
          </cell>
          <cell r="AD34">
            <v>210879844638.87735</v>
          </cell>
          <cell r="AE34">
            <v>256480852471.12866</v>
          </cell>
          <cell r="AF34">
            <v>283056836893.83826</v>
          </cell>
          <cell r="AG34">
            <v>307881930752.26764</v>
          </cell>
          <cell r="AH34">
            <v>412990820287.4201</v>
          </cell>
          <cell r="AI34">
            <v>464989098144.85449</v>
          </cell>
          <cell r="AJ34">
            <v>407729053018.90723</v>
          </cell>
          <cell r="AK34">
            <v>390566561752.67114</v>
          </cell>
          <cell r="AL34">
            <v>438299504463.02032</v>
          </cell>
          <cell r="AM34">
            <v>546229749726.26312</v>
          </cell>
          <cell r="AN34">
            <v>769333330439.52026</v>
          </cell>
          <cell r="AO34">
            <v>850426432991.74207</v>
          </cell>
          <cell r="AP34">
            <v>883206452832.8114</v>
          </cell>
          <cell r="AQ34">
            <v>863711007338.68286</v>
          </cell>
          <cell r="AR34">
            <v>599642075039.04858</v>
          </cell>
          <cell r="AS34">
            <v>655448188246.10962</v>
          </cell>
          <cell r="AT34">
            <v>559983704075.65808</v>
          </cell>
          <cell r="AU34">
            <v>509795270707.26764</v>
          </cell>
          <cell r="AV34">
            <v>558233724160.74194</v>
          </cell>
          <cell r="AW34">
            <v>669289321953.68286</v>
          </cell>
          <cell r="AX34">
            <v>891633826582.60583</v>
          </cell>
          <cell r="AY34">
            <v>1107626711436.4417</v>
          </cell>
          <cell r="AZ34">
            <v>1397114247287.5771</v>
          </cell>
          <cell r="BA34">
            <v>1695855391816.4766</v>
          </cell>
          <cell r="BB34">
            <v>1666996294324.7571</v>
          </cell>
          <cell r="BC34">
            <v>2208838108593.1865</v>
          </cell>
          <cell r="BD34">
            <v>2616156606734.5132</v>
          </cell>
          <cell r="BE34">
            <v>2465228293862.6196</v>
          </cell>
          <cell r="BF34">
            <v>2472819362259.0034</v>
          </cell>
          <cell r="BG34">
            <v>2456043766063.4976</v>
          </cell>
          <cell r="BH34">
            <v>1802211999555.5911</v>
          </cell>
          <cell r="BI34">
            <v>1795693265824.2683</v>
          </cell>
          <cell r="BJ34">
            <v>2063514688761.6658</v>
          </cell>
          <cell r="BK34">
            <v>1916933708404.1624</v>
          </cell>
          <cell r="BL34">
            <v>1873288159000.6404</v>
          </cell>
          <cell r="BM34">
            <v>1476107292036.5889</v>
          </cell>
        </row>
        <row r="35">
          <cell r="B35" t="str">
            <v>BRB</v>
          </cell>
          <cell r="C35" t="str">
            <v>GDP (current US$)</v>
          </cell>
          <cell r="D35" t="str">
            <v>NY.GDP.MKTP.CD</v>
          </cell>
          <cell r="S35">
            <v>311804643.27514666</v>
          </cell>
          <cell r="T35">
            <v>402178605.01955354</v>
          </cell>
          <cell r="U35">
            <v>435911268.5896796</v>
          </cell>
          <cell r="V35">
            <v>495097667.92904121</v>
          </cell>
          <cell r="W35">
            <v>552883707.05513847</v>
          </cell>
          <cell r="X35">
            <v>670362452.14537871</v>
          </cell>
          <cell r="Y35">
            <v>1012280614.5279174</v>
          </cell>
          <cell r="Z35">
            <v>1114204743.2009149</v>
          </cell>
          <cell r="AA35">
            <v>1163923830.3584747</v>
          </cell>
          <cell r="AB35">
            <v>1236016506.7369363</v>
          </cell>
          <cell r="AC35">
            <v>1346890071.0982947</v>
          </cell>
          <cell r="AD35">
            <v>1409536120.91682</v>
          </cell>
          <cell r="AE35">
            <v>1547755183.2148364</v>
          </cell>
          <cell r="AF35">
            <v>1704370307.7611496</v>
          </cell>
          <cell r="AG35">
            <v>1812757917.7646301</v>
          </cell>
          <cell r="AH35">
            <v>2006165166.8075376</v>
          </cell>
          <cell r="AI35">
            <v>2012131457.2664447</v>
          </cell>
          <cell r="AJ35">
            <v>2020583702.0832298</v>
          </cell>
          <cell r="AK35">
            <v>1957000000</v>
          </cell>
          <cell r="AL35">
            <v>2063342117.0387313</v>
          </cell>
          <cell r="AM35">
            <v>2151344901.3076119</v>
          </cell>
          <cell r="AN35">
            <v>2216974096.3555913</v>
          </cell>
          <cell r="AO35">
            <v>2363645403.4703922</v>
          </cell>
          <cell r="AP35">
            <v>2498384129.6673794</v>
          </cell>
          <cell r="AQ35">
            <v>2817083478.3473377</v>
          </cell>
          <cell r="AR35">
            <v>2951822204.5443249</v>
          </cell>
          <cell r="AS35">
            <v>3059500000</v>
          </cell>
          <cell r="AT35">
            <v>3054500000</v>
          </cell>
          <cell r="AU35">
            <v>3106500000</v>
          </cell>
          <cell r="AV35">
            <v>3209500000</v>
          </cell>
          <cell r="AW35">
            <v>3444500000</v>
          </cell>
          <cell r="AX35">
            <v>3819500000</v>
          </cell>
          <cell r="AY35">
            <v>4217450799.9999995</v>
          </cell>
          <cell r="AZ35">
            <v>4674007450</v>
          </cell>
          <cell r="BA35">
            <v>4784925100</v>
          </cell>
          <cell r="BB35">
            <v>4465657300</v>
          </cell>
          <cell r="BC35">
            <v>4529928300</v>
          </cell>
          <cell r="BD35">
            <v>4657699450</v>
          </cell>
          <cell r="BE35">
            <v>4610096000</v>
          </cell>
          <cell r="BF35">
            <v>4677248300</v>
          </cell>
          <cell r="BG35">
            <v>4696344350</v>
          </cell>
          <cell r="BH35">
            <v>4724691200</v>
          </cell>
          <cell r="BI35">
            <v>4832811750</v>
          </cell>
          <cell r="BJ35">
            <v>4981588900</v>
          </cell>
          <cell r="BK35">
            <v>5097283200</v>
          </cell>
          <cell r="BL35">
            <v>5324250000</v>
          </cell>
          <cell r="BM35">
            <v>4671800000</v>
          </cell>
        </row>
        <row r="36">
          <cell r="B36" t="str">
            <v>BRN</v>
          </cell>
          <cell r="C36" t="str">
            <v>GDP (current US$)</v>
          </cell>
          <cell r="D36" t="str">
            <v>NY.GDP.MKTP.CD</v>
          </cell>
          <cell r="J36">
            <v>114039500.51448099</v>
          </cell>
          <cell r="K36">
            <v>132757527.95498446</v>
          </cell>
          <cell r="L36">
            <v>139029537.14970812</v>
          </cell>
          <cell r="M36">
            <v>160818235.75846174</v>
          </cell>
          <cell r="N36">
            <v>161210236.33313197</v>
          </cell>
          <cell r="O36">
            <v>179078929.19518325</v>
          </cell>
          <cell r="P36">
            <v>197525739.97680342</v>
          </cell>
          <cell r="Q36">
            <v>270822794.67245811</v>
          </cell>
          <cell r="R36">
            <v>433095587.46986443</v>
          </cell>
          <cell r="S36">
            <v>1073591771.2204183</v>
          </cell>
          <cell r="T36">
            <v>1168304306.1067557</v>
          </cell>
          <cell r="U36">
            <v>1423037359.4965036</v>
          </cell>
          <cell r="V36">
            <v>1732721161.4739449</v>
          </cell>
          <cell r="W36">
            <v>1941579358.8979788</v>
          </cell>
          <cell r="X36">
            <v>2803833729.7626848</v>
          </cell>
          <cell r="Y36">
            <v>4928805777.281498</v>
          </cell>
          <cell r="Z36">
            <v>4366231073.1148596</v>
          </cell>
          <cell r="AA36">
            <v>4264202522.6590748</v>
          </cell>
          <cell r="AB36">
            <v>3844632168.5926189</v>
          </cell>
          <cell r="AC36">
            <v>3782552643.4789314</v>
          </cell>
          <cell r="AD36">
            <v>3523532486.9552073</v>
          </cell>
          <cell r="AE36">
            <v>2358574763.8530807</v>
          </cell>
          <cell r="AF36">
            <v>2754485236.5086823</v>
          </cell>
          <cell r="AG36">
            <v>2690684124.8742189</v>
          </cell>
          <cell r="AH36">
            <v>2985531762.8861184</v>
          </cell>
          <cell r="AI36">
            <v>3520486979.549808</v>
          </cell>
          <cell r="AJ36">
            <v>3701774188.8802061</v>
          </cell>
          <cell r="AK36">
            <v>4183633796.476285</v>
          </cell>
          <cell r="AL36">
            <v>4105729444.1473274</v>
          </cell>
          <cell r="AM36">
            <v>4087219772.8994913</v>
          </cell>
          <cell r="AN36">
            <v>4734103536.4670601</v>
          </cell>
          <cell r="AO36">
            <v>5115454694.2789602</v>
          </cell>
          <cell r="AP36">
            <v>5197312555.4575996</v>
          </cell>
          <cell r="AQ36">
            <v>4051143193.1731982</v>
          </cell>
          <cell r="AR36">
            <v>4600117603.7932053</v>
          </cell>
          <cell r="AS36">
            <v>6001280943.7169123</v>
          </cell>
          <cell r="AT36">
            <v>5601020247.2760143</v>
          </cell>
          <cell r="AU36">
            <v>5843367180.0609407</v>
          </cell>
          <cell r="AV36">
            <v>6557395815.5953856</v>
          </cell>
          <cell r="AW36">
            <v>7872201250.9158192</v>
          </cell>
          <cell r="AX36">
            <v>9531417164.4694252</v>
          </cell>
          <cell r="AY36">
            <v>11470462364.689123</v>
          </cell>
          <cell r="AZ36">
            <v>12247680702.805912</v>
          </cell>
          <cell r="BA36">
            <v>14393437610.255171</v>
          </cell>
          <cell r="BB36">
            <v>10732592999.391754</v>
          </cell>
          <cell r="BC36">
            <v>13707275498.056877</v>
          </cell>
          <cell r="BD36">
            <v>18525128229.675442</v>
          </cell>
          <cell r="BE36">
            <v>19048443089.253067</v>
          </cell>
          <cell r="BF36">
            <v>18094326392.708618</v>
          </cell>
          <cell r="BG36">
            <v>17097801091.977133</v>
          </cell>
          <cell r="BH36">
            <v>12930292949.421553</v>
          </cell>
          <cell r="BI36">
            <v>11400467372.494339</v>
          </cell>
          <cell r="BJ36">
            <v>12128182463.596029</v>
          </cell>
          <cell r="BK36">
            <v>13567164444.970728</v>
          </cell>
          <cell r="BL36">
            <v>13469240162.549618</v>
          </cell>
          <cell r="BM36">
            <v>12005795914.730585</v>
          </cell>
        </row>
        <row r="37">
          <cell r="B37" t="str">
            <v>BTN</v>
          </cell>
          <cell r="C37" t="str">
            <v>GDP (current US$)</v>
          </cell>
          <cell r="D37" t="str">
            <v>NY.GDP.MKTP.CD</v>
          </cell>
          <cell r="Y37">
            <v>128669205.78159186</v>
          </cell>
          <cell r="Z37">
            <v>139174180.99552411</v>
          </cell>
          <cell r="AA37">
            <v>141439318.40482393</v>
          </cell>
          <cell r="AB37">
            <v>156704286.11685455</v>
          </cell>
          <cell r="AC37">
            <v>160423489.26581633</v>
          </cell>
          <cell r="AD37">
            <v>163288815.32637027</v>
          </cell>
          <cell r="AE37">
            <v>191218110.43541414</v>
          </cell>
          <cell r="AF37">
            <v>242742766.35420284</v>
          </cell>
          <cell r="AG37">
            <v>272298060.01976055</v>
          </cell>
          <cell r="AH37">
            <v>264798626.1625219</v>
          </cell>
          <cell r="AI37">
            <v>287765007.10715002</v>
          </cell>
          <cell r="AJ37">
            <v>240294282.49395806</v>
          </cell>
          <cell r="AK37">
            <v>240233528.07081315</v>
          </cell>
          <cell r="AL37">
            <v>225973695.30730096</v>
          </cell>
          <cell r="AM37">
            <v>258954703.92159942</v>
          </cell>
          <cell r="AN37">
            <v>290490986.80187297</v>
          </cell>
          <cell r="AO37">
            <v>303408342.76580018</v>
          </cell>
          <cell r="AP37">
            <v>352229078.32424909</v>
          </cell>
          <cell r="AQ37">
            <v>363458380.90334153</v>
          </cell>
          <cell r="AR37">
            <v>399311196.41630971</v>
          </cell>
          <cell r="AS37">
            <v>424448931.00724816</v>
          </cell>
          <cell r="AT37">
            <v>461479580.18354011</v>
          </cell>
          <cell r="AU37">
            <v>520846131.7275514</v>
          </cell>
          <cell r="AV37">
            <v>603999372.37858582</v>
          </cell>
          <cell r="AW37">
            <v>682577073.52882719</v>
          </cell>
          <cell r="AX37">
            <v>796938571.96064174</v>
          </cell>
          <cell r="AY37">
            <v>874989734.66393507</v>
          </cell>
          <cell r="AZ37">
            <v>1168307574.7950764</v>
          </cell>
          <cell r="BA37">
            <v>1227809261.0420761</v>
          </cell>
          <cell r="BB37">
            <v>1234015141.6030478</v>
          </cell>
          <cell r="BC37">
            <v>1547990907.4630489</v>
          </cell>
          <cell r="BD37">
            <v>1777102585.9322872</v>
          </cell>
          <cell r="BE37">
            <v>1781280170.4429569</v>
          </cell>
          <cell r="BF37">
            <v>1756214303.9260912</v>
          </cell>
          <cell r="BG37">
            <v>1907090361.5788701</v>
          </cell>
          <cell r="BH37">
            <v>2003596824.3109901</v>
          </cell>
          <cell r="BI37">
            <v>2158971717.5041785</v>
          </cell>
          <cell r="BJ37">
            <v>2450366107.8822937</v>
          </cell>
          <cell r="BK37">
            <v>2446867582.2713294</v>
          </cell>
          <cell r="BL37">
            <v>2535655609.4588923</v>
          </cell>
          <cell r="BM37">
            <v>2325185520.5933862</v>
          </cell>
        </row>
        <row r="38">
          <cell r="B38" t="str">
            <v>BWA</v>
          </cell>
          <cell r="C38" t="str">
            <v>GDP (current US$)</v>
          </cell>
          <cell r="D38" t="str">
            <v>NY.GDP.MKTP.CD</v>
          </cell>
          <cell r="E38">
            <v>30411418.678829499</v>
          </cell>
          <cell r="F38">
            <v>32902592.836286068</v>
          </cell>
          <cell r="G38">
            <v>35644931.942152984</v>
          </cell>
          <cell r="H38">
            <v>38091832.989384674</v>
          </cell>
          <cell r="I38">
            <v>41616368.315993428</v>
          </cell>
          <cell r="J38">
            <v>45788670.693014599</v>
          </cell>
          <cell r="K38">
            <v>51465624.409076937</v>
          </cell>
          <cell r="L38">
            <v>58642385.237674385</v>
          </cell>
          <cell r="M38">
            <v>66248426.994140863</v>
          </cell>
          <cell r="N38">
            <v>77361532.993512318</v>
          </cell>
          <cell r="O38">
            <v>96243298.139383331</v>
          </cell>
          <cell r="P38">
            <v>127448656.12560534</v>
          </cell>
          <cell r="Q38">
            <v>164460827.50660485</v>
          </cell>
          <cell r="R38">
            <v>244124115.6531758</v>
          </cell>
          <cell r="S38">
            <v>306044205.92212152</v>
          </cell>
          <cell r="T38">
            <v>355168715.3751756</v>
          </cell>
          <cell r="U38">
            <v>372025093.43410224</v>
          </cell>
          <cell r="V38">
            <v>451624959.61005038</v>
          </cell>
          <cell r="W38">
            <v>590407375.16003299</v>
          </cell>
          <cell r="X38">
            <v>819870595.11153734</v>
          </cell>
          <cell r="Y38">
            <v>1060889705.1187104</v>
          </cell>
          <cell r="Z38">
            <v>1073812403.8066216</v>
          </cell>
          <cell r="AA38">
            <v>1014945860.8254869</v>
          </cell>
          <cell r="AB38">
            <v>1172230575.5799584</v>
          </cell>
          <cell r="AC38">
            <v>1240821849.2757642</v>
          </cell>
          <cell r="AD38">
            <v>1114783538.1740589</v>
          </cell>
          <cell r="AE38">
            <v>1392602040.1479399</v>
          </cell>
          <cell r="AF38">
            <v>1965227085.1315527</v>
          </cell>
          <cell r="AG38">
            <v>2644554881.8418589</v>
          </cell>
          <cell r="AH38">
            <v>3083822367.1068263</v>
          </cell>
          <cell r="AI38">
            <v>3790636664.0254593</v>
          </cell>
          <cell r="AJ38">
            <v>3942877353.5905428</v>
          </cell>
          <cell r="AK38">
            <v>4146464586.6167388</v>
          </cell>
          <cell r="AL38">
            <v>4160129174.7056947</v>
          </cell>
          <cell r="AM38">
            <v>4259258810.8932819</v>
          </cell>
          <cell r="AN38">
            <v>4730599690.7397423</v>
          </cell>
          <cell r="AO38">
            <v>4847757703.866293</v>
          </cell>
          <cell r="AP38">
            <v>5020265168.289011</v>
          </cell>
          <cell r="AQ38">
            <v>4790481509.1767864</v>
          </cell>
          <cell r="AR38">
            <v>5484263050.3956165</v>
          </cell>
          <cell r="AS38">
            <v>5788329609.1575527</v>
          </cell>
          <cell r="AT38">
            <v>5489608299.6644526</v>
          </cell>
          <cell r="AU38">
            <v>5438864269.3936119</v>
          </cell>
          <cell r="AV38">
            <v>7511582173.3772392</v>
          </cell>
          <cell r="AW38">
            <v>8957467706.5354042</v>
          </cell>
          <cell r="AX38">
            <v>9918907108.0970154</v>
          </cell>
          <cell r="AY38">
            <v>9919158482.4108524</v>
          </cell>
          <cell r="AZ38">
            <v>10567270655.502705</v>
          </cell>
          <cell r="BA38">
            <v>10730828592.458956</v>
          </cell>
          <cell r="BB38">
            <v>10118459713.702379</v>
          </cell>
          <cell r="BC38">
            <v>12637273429.133932</v>
          </cell>
          <cell r="BD38">
            <v>15110642875.596531</v>
          </cell>
          <cell r="BE38">
            <v>13907464500.148876</v>
          </cell>
          <cell r="BF38">
            <v>14271738366.791723</v>
          </cell>
          <cell r="BG38">
            <v>15470087926.248444</v>
          </cell>
          <cell r="BH38">
            <v>13530749289.786123</v>
          </cell>
          <cell r="BI38">
            <v>15082636722.855951</v>
          </cell>
          <cell r="BJ38">
            <v>16105156375.584837</v>
          </cell>
          <cell r="BK38">
            <v>17031943186.13526</v>
          </cell>
          <cell r="BL38">
            <v>16725908661.941927</v>
          </cell>
          <cell r="BM38">
            <v>14960291540.528328</v>
          </cell>
        </row>
        <row r="39">
          <cell r="B39" t="str">
            <v>CAF</v>
          </cell>
          <cell r="C39" t="str">
            <v>GDP (current US$)</v>
          </cell>
          <cell r="D39" t="str">
            <v>NY.GDP.MKTP.CD</v>
          </cell>
          <cell r="E39">
            <v>112155598.30994262</v>
          </cell>
          <cell r="F39">
            <v>123134583.65375835</v>
          </cell>
          <cell r="G39">
            <v>124482773.99231553</v>
          </cell>
          <cell r="H39">
            <v>129379123.92353582</v>
          </cell>
          <cell r="I39">
            <v>142025078.68993855</v>
          </cell>
          <cell r="J39">
            <v>150574795.28223953</v>
          </cell>
          <cell r="K39">
            <v>157930018.37544778</v>
          </cell>
          <cell r="L39">
            <v>163820513.70142522</v>
          </cell>
          <cell r="M39">
            <v>191767441.79284662</v>
          </cell>
          <cell r="N39">
            <v>188039209.87631708</v>
          </cell>
          <cell r="O39">
            <v>189106529.18864462</v>
          </cell>
          <cell r="P39">
            <v>201450800.05656132</v>
          </cell>
          <cell r="Q39">
            <v>230317882.94163346</v>
          </cell>
          <cell r="R39">
            <v>271183081.97830194</v>
          </cell>
          <cell r="S39">
            <v>281398705.99400312</v>
          </cell>
          <cell r="T39">
            <v>378660015.66305155</v>
          </cell>
          <cell r="U39">
            <v>451152460.80853748</v>
          </cell>
          <cell r="V39">
            <v>507298148.42150623</v>
          </cell>
          <cell r="W39">
            <v>610578631.35994279</v>
          </cell>
          <cell r="X39">
            <v>700764746.89211905</v>
          </cell>
          <cell r="Y39">
            <v>797048196.97040796</v>
          </cell>
          <cell r="Z39">
            <v>694803624.04875684</v>
          </cell>
          <cell r="AA39">
            <v>748312391.44207501</v>
          </cell>
          <cell r="AB39">
            <v>658679332.63876092</v>
          </cell>
          <cell r="AC39">
            <v>637820670.60904586</v>
          </cell>
          <cell r="AD39">
            <v>864849836.84136152</v>
          </cell>
          <cell r="AE39">
            <v>1122265014.8637862</v>
          </cell>
          <cell r="AF39">
            <v>1200991976.2036412</v>
          </cell>
          <cell r="AG39">
            <v>1264899288.2796745</v>
          </cell>
          <cell r="AH39">
            <v>1233930279.030019</v>
          </cell>
          <cell r="AI39">
            <v>1440711459.411</v>
          </cell>
          <cell r="AJ39">
            <v>1377374987.5205169</v>
          </cell>
          <cell r="AK39">
            <v>1411917554.4548202</v>
          </cell>
          <cell r="AL39">
            <v>1278781259.3011675</v>
          </cell>
          <cell r="AM39">
            <v>851174357.309582</v>
          </cell>
          <cell r="AN39">
            <v>1115389673.9125004</v>
          </cell>
          <cell r="AO39">
            <v>1007791126.5622584</v>
          </cell>
          <cell r="AP39">
            <v>937741512.44757426</v>
          </cell>
          <cell r="AQ39">
            <v>967338390.36001945</v>
          </cell>
          <cell r="AR39">
            <v>999477510.68663239</v>
          </cell>
          <cell r="AS39">
            <v>916777282.65116835</v>
          </cell>
          <cell r="AT39">
            <v>932648604.4205749</v>
          </cell>
          <cell r="AU39">
            <v>996068145.60802054</v>
          </cell>
          <cell r="AV39">
            <v>1142315522.1989026</v>
          </cell>
          <cell r="AW39">
            <v>1272360516.6202202</v>
          </cell>
          <cell r="AX39">
            <v>1337894379.6264896</v>
          </cell>
          <cell r="AY39">
            <v>1461859762.6279109</v>
          </cell>
          <cell r="AZ39">
            <v>1699811293.2575986</v>
          </cell>
          <cell r="BA39">
            <v>1993407886.5640216</v>
          </cell>
          <cell r="BB39">
            <v>2067381663.7537796</v>
          </cell>
          <cell r="BC39">
            <v>2142591539.4352646</v>
          </cell>
          <cell r="BD39">
            <v>2437982706.5749931</v>
          </cell>
          <cell r="BE39">
            <v>2510126509.9950099</v>
          </cell>
          <cell r="BF39">
            <v>1691544110.6915028</v>
          </cell>
          <cell r="BG39">
            <v>1894813389.8817472</v>
          </cell>
          <cell r="BH39">
            <v>1695825714.2427018</v>
          </cell>
          <cell r="BI39">
            <v>1825018144.4618673</v>
          </cell>
          <cell r="BJ39">
            <v>2072349974.15272</v>
          </cell>
          <cell r="BK39">
            <v>2220979144.5200796</v>
          </cell>
          <cell r="BL39">
            <v>2221301350.7553682</v>
          </cell>
          <cell r="BM39">
            <v>2326720902.3574061</v>
          </cell>
        </row>
        <row r="40">
          <cell r="B40" t="str">
            <v>CAN</v>
          </cell>
          <cell r="C40" t="str">
            <v>GDP (current US$)</v>
          </cell>
          <cell r="D40" t="str">
            <v>NY.GDP.MKTP.CD</v>
          </cell>
          <cell r="E40">
            <v>40462398501.885849</v>
          </cell>
          <cell r="F40">
            <v>40935133543.157623</v>
          </cell>
          <cell r="G40">
            <v>42227357845.300941</v>
          </cell>
          <cell r="H40">
            <v>45029724490.389153</v>
          </cell>
          <cell r="I40">
            <v>49377963148.978134</v>
          </cell>
          <cell r="J40">
            <v>54515115736.001831</v>
          </cell>
          <cell r="K40">
            <v>61086991001.547737</v>
          </cell>
          <cell r="L40">
            <v>65668511127.259041</v>
          </cell>
          <cell r="M40">
            <v>71830047239.013931</v>
          </cell>
          <cell r="N40">
            <v>79148003144.706146</v>
          </cell>
          <cell r="O40">
            <v>88192257632.309311</v>
          </cell>
          <cell r="P40">
            <v>99605414680.041962</v>
          </cell>
          <cell r="Q40">
            <v>113463848873.6236</v>
          </cell>
          <cell r="R40">
            <v>131765642644.97198</v>
          </cell>
          <cell r="S40">
            <v>160946304010.36496</v>
          </cell>
          <cell r="T40">
            <v>174426742591.49753</v>
          </cell>
          <cell r="U40">
            <v>207265662814.81503</v>
          </cell>
          <cell r="V40">
            <v>212325176304.65448</v>
          </cell>
          <cell r="W40">
            <v>219377394594.97525</v>
          </cell>
          <cell r="X40">
            <v>243886024251.83405</v>
          </cell>
          <cell r="Y40">
            <v>274770252171.76193</v>
          </cell>
          <cell r="Z40">
            <v>307245842970.16663</v>
          </cell>
          <cell r="AA40">
            <v>314638903648.75934</v>
          </cell>
          <cell r="AB40">
            <v>341862996303.0661</v>
          </cell>
          <cell r="AC40">
            <v>356727872422.40796</v>
          </cell>
          <cell r="AD40">
            <v>366184030237.79468</v>
          </cell>
          <cell r="AE40">
            <v>379014731199.83112</v>
          </cell>
          <cell r="AF40">
            <v>433139928035.93146</v>
          </cell>
          <cell r="AG40">
            <v>509379677196.07129</v>
          </cell>
          <cell r="AH40">
            <v>567225367034.46509</v>
          </cell>
          <cell r="AI40">
            <v>596089064840.24805</v>
          </cell>
          <cell r="AJ40">
            <v>612513895512.6095</v>
          </cell>
          <cell r="AK40">
            <v>594376087449.38831</v>
          </cell>
          <cell r="AL40">
            <v>579059001030.92175</v>
          </cell>
          <cell r="AM40">
            <v>579944346807.26428</v>
          </cell>
          <cell r="AN40">
            <v>605941036992.13318</v>
          </cell>
          <cell r="AO40">
            <v>630597987889.28186</v>
          </cell>
          <cell r="AP40">
            <v>654987932556.60547</v>
          </cell>
          <cell r="AQ40">
            <v>633997734246.94543</v>
          </cell>
          <cell r="AR40">
            <v>678409995711.89343</v>
          </cell>
          <cell r="AS40">
            <v>744773415931.58704</v>
          </cell>
          <cell r="AT40">
            <v>738962729044.52539</v>
          </cell>
          <cell r="AU40">
            <v>760649334098.00549</v>
          </cell>
          <cell r="AV40">
            <v>895540646634.78699</v>
          </cell>
          <cell r="AW40">
            <v>1026690238278.2476</v>
          </cell>
          <cell r="AX40">
            <v>1173108598778.6763</v>
          </cell>
          <cell r="AY40">
            <v>1319264809590.9731</v>
          </cell>
          <cell r="AZ40">
            <v>1468820407783.2603</v>
          </cell>
          <cell r="BA40">
            <v>1552989690721.6497</v>
          </cell>
          <cell r="BB40">
            <v>1374625142157.2915</v>
          </cell>
          <cell r="BC40">
            <v>1617343367486.2585</v>
          </cell>
          <cell r="BD40">
            <v>1793326630174.5186</v>
          </cell>
          <cell r="BE40">
            <v>1828366481521.5952</v>
          </cell>
          <cell r="BF40">
            <v>1846597421834.9834</v>
          </cell>
          <cell r="BG40">
            <v>1805749878439.9412</v>
          </cell>
          <cell r="BH40">
            <v>1556508816217.1401</v>
          </cell>
          <cell r="BI40">
            <v>1527994741907.425</v>
          </cell>
          <cell r="BJ40">
            <v>1649265644244.095</v>
          </cell>
          <cell r="BK40">
            <v>1725297938435.7603</v>
          </cell>
          <cell r="BL40">
            <v>1743725183672.5212</v>
          </cell>
          <cell r="BM40">
            <v>1647598402302.6787</v>
          </cell>
        </row>
        <row r="41">
          <cell r="B41" t="str">
            <v>CEB</v>
          </cell>
          <cell r="C41" t="str">
            <v>GDP (current US$)</v>
          </cell>
          <cell r="D41" t="str">
            <v>NY.GDP.MKTP.CD</v>
          </cell>
          <cell r="AI41">
            <v>255337810802.76193</v>
          </cell>
          <cell r="AJ41">
            <v>242591400512.37115</v>
          </cell>
          <cell r="AK41">
            <v>260007368667.58395</v>
          </cell>
          <cell r="AL41">
            <v>274156327273.20596</v>
          </cell>
          <cell r="AM41">
            <v>310993244630.0835</v>
          </cell>
          <cell r="AN41">
            <v>393416788946.65973</v>
          </cell>
          <cell r="AO41">
            <v>416196157690.06537</v>
          </cell>
          <cell r="AP41">
            <v>410169715860.14783</v>
          </cell>
          <cell r="AQ41">
            <v>448894610521.33051</v>
          </cell>
          <cell r="AR41">
            <v>435065044494.68524</v>
          </cell>
          <cell r="AS41">
            <v>428593201404.54437</v>
          </cell>
          <cell r="AT41">
            <v>468615587873.48389</v>
          </cell>
          <cell r="AU41">
            <v>528073833481.43927</v>
          </cell>
          <cell r="AV41">
            <v>634392770405.70215</v>
          </cell>
          <cell r="AW41">
            <v>763090766153.59326</v>
          </cell>
          <cell r="AX41">
            <v>886071848815.60059</v>
          </cell>
          <cell r="AY41">
            <v>1001568223853.4852</v>
          </cell>
          <cell r="AZ41">
            <v>1265418819111.2629</v>
          </cell>
          <cell r="BA41">
            <v>1530535154238.875</v>
          </cell>
          <cell r="BB41">
            <v>1289701858873.6423</v>
          </cell>
          <cell r="BC41">
            <v>1316398490312.2764</v>
          </cell>
          <cell r="BD41">
            <v>1454558246006.2261</v>
          </cell>
          <cell r="BE41">
            <v>1358875109415.3406</v>
          </cell>
          <cell r="BF41">
            <v>1417323424010.0364</v>
          </cell>
          <cell r="BG41">
            <v>1463549880656.8037</v>
          </cell>
          <cell r="BH41">
            <v>1293370353419.5264</v>
          </cell>
          <cell r="BI41">
            <v>1316495750803.6484</v>
          </cell>
          <cell r="BJ41">
            <v>1461216063229.7908</v>
          </cell>
          <cell r="BK41">
            <v>1648513132166.1562</v>
          </cell>
          <cell r="BL41">
            <v>1674114230083.2529</v>
          </cell>
          <cell r="BM41">
            <v>1665358949113.7229</v>
          </cell>
        </row>
        <row r="42">
          <cell r="B42" t="str">
            <v>CHE</v>
          </cell>
          <cell r="C42" t="str">
            <v>GDP (current US$)</v>
          </cell>
          <cell r="D42" t="str">
            <v>NY.GDP.MKTP.CD</v>
          </cell>
          <cell r="E42">
            <v>9522746879.7677193</v>
          </cell>
          <cell r="F42">
            <v>10712712645.666325</v>
          </cell>
          <cell r="G42">
            <v>11879982958.856014</v>
          </cell>
          <cell r="H42">
            <v>13063644016.038824</v>
          </cell>
          <cell r="I42">
            <v>14480556815.686848</v>
          </cell>
          <cell r="J42">
            <v>15346741928.500486</v>
          </cell>
          <cell r="K42">
            <v>16480058982.703571</v>
          </cell>
          <cell r="L42">
            <v>17740013478.353016</v>
          </cell>
          <cell r="M42">
            <v>18942730098.470623</v>
          </cell>
          <cell r="N42">
            <v>20524886962.524284</v>
          </cell>
          <cell r="Y42">
            <v>122557234458.21518</v>
          </cell>
          <cell r="Z42">
            <v>112242424557.83095</v>
          </cell>
          <cell r="AA42">
            <v>115044782162.74055</v>
          </cell>
          <cell r="AB42">
            <v>114632083163.39429</v>
          </cell>
          <cell r="AC42">
            <v>109456088574.23131</v>
          </cell>
          <cell r="AD42">
            <v>110979185023.14697</v>
          </cell>
          <cell r="AE42">
            <v>159088447135.69171</v>
          </cell>
          <cell r="AF42">
            <v>199237483444.44833</v>
          </cell>
          <cell r="AG42">
            <v>215540625298.98175</v>
          </cell>
          <cell r="AH42">
            <v>208102666687.04248</v>
          </cell>
          <cell r="AI42">
            <v>265771545360.20078</v>
          </cell>
          <cell r="AJ42">
            <v>268903256527.52451</v>
          </cell>
          <cell r="AK42">
            <v>279917776400.29889</v>
          </cell>
          <cell r="AL42">
            <v>272234456388.10187</v>
          </cell>
          <cell r="AM42">
            <v>301376707849.16931</v>
          </cell>
          <cell r="AN42">
            <v>352845006670.36322</v>
          </cell>
          <cell r="AO42">
            <v>340101207919.02979</v>
          </cell>
          <cell r="AP42">
            <v>294785659876.83563</v>
          </cell>
          <cell r="AQ42">
            <v>303456228792.49286</v>
          </cell>
          <cell r="AR42">
            <v>297882566712.48975</v>
          </cell>
          <cell r="AS42">
            <v>279209007352.66907</v>
          </cell>
          <cell r="AT42">
            <v>286580125206.28223</v>
          </cell>
          <cell r="AU42">
            <v>309299934075.76959</v>
          </cell>
          <cell r="AV42">
            <v>362088305988.74707</v>
          </cell>
          <cell r="AW42">
            <v>403914244451.96619</v>
          </cell>
          <cell r="AX42">
            <v>418292704114.27454</v>
          </cell>
          <cell r="AY42">
            <v>441619409123.41632</v>
          </cell>
          <cell r="AZ42">
            <v>490754683815.1438</v>
          </cell>
          <cell r="BA42">
            <v>567273005013.43372</v>
          </cell>
          <cell r="BB42">
            <v>554191679308.88416</v>
          </cell>
          <cell r="BC42">
            <v>598851028906.58032</v>
          </cell>
          <cell r="BD42">
            <v>715888126682.39587</v>
          </cell>
          <cell r="BE42">
            <v>686420221557.98987</v>
          </cell>
          <cell r="BF42">
            <v>706234937370.96753</v>
          </cell>
          <cell r="BG42">
            <v>726537808338.00049</v>
          </cell>
          <cell r="BH42">
            <v>694118186379.62781</v>
          </cell>
          <cell r="BI42">
            <v>687895460902.71326</v>
          </cell>
          <cell r="BJ42">
            <v>695200833086.4989</v>
          </cell>
          <cell r="BK42">
            <v>725562534363.89478</v>
          </cell>
          <cell r="BL42">
            <v>721369112726.72388</v>
          </cell>
          <cell r="BM42">
            <v>739913619797.44519</v>
          </cell>
        </row>
        <row r="43">
          <cell r="B43" t="str">
            <v>CHI</v>
          </cell>
          <cell r="C43" t="str">
            <v>GDP (current US$)</v>
          </cell>
          <cell r="D43" t="str">
            <v>NY.GDP.MKTP.CD</v>
          </cell>
          <cell r="AQ43">
            <v>5945677376.6147728</v>
          </cell>
          <cell r="AR43">
            <v>6262740656.8516426</v>
          </cell>
          <cell r="AS43">
            <v>6439703434.7102432</v>
          </cell>
          <cell r="AT43">
            <v>6232906290.4851017</v>
          </cell>
          <cell r="AU43">
            <v>6663669064.7482014</v>
          </cell>
          <cell r="AV43">
            <v>7332244897.9591827</v>
          </cell>
          <cell r="AW43">
            <v>8553643354.0827532</v>
          </cell>
          <cell r="AX43">
            <v>8827272727.2727261</v>
          </cell>
          <cell r="AY43">
            <v>9676172953.0818768</v>
          </cell>
          <cell r="AZ43">
            <v>11514605842.336935</v>
          </cell>
          <cell r="BI43">
            <v>9511207129.3545761</v>
          </cell>
          <cell r="BJ43">
            <v>9530244530.2445297</v>
          </cell>
          <cell r="BK43">
            <v>10422948632.421614</v>
          </cell>
          <cell r="BL43">
            <v>10381669645.136585</v>
          </cell>
          <cell r="BM43">
            <v>9811538461.5384617</v>
          </cell>
        </row>
        <row r="44">
          <cell r="B44" t="str">
            <v>CHL</v>
          </cell>
          <cell r="C44" t="str">
            <v>GDP (current US$)</v>
          </cell>
          <cell r="D44" t="str">
            <v>NY.GDP.MKTP.CD</v>
          </cell>
          <cell r="E44">
            <v>4109999999.9999995</v>
          </cell>
          <cell r="F44">
            <v>4828612639.178937</v>
          </cell>
          <cell r="G44">
            <v>5633224652.5909061</v>
          </cell>
          <cell r="H44">
            <v>5592044870.5158043</v>
          </cell>
          <cell r="I44">
            <v>5963077661.5630493</v>
          </cell>
          <cell r="J44">
            <v>6109341260.4630136</v>
          </cell>
          <cell r="K44">
            <v>7162377224.6391697</v>
          </cell>
          <cell r="L44">
            <v>7057104134.4901772</v>
          </cell>
          <cell r="M44">
            <v>7191615669.9946775</v>
          </cell>
          <cell r="N44">
            <v>8360001925.6063375</v>
          </cell>
          <cell r="O44">
            <v>9144514527.222578</v>
          </cell>
          <cell r="P44">
            <v>10876408930.358274</v>
          </cell>
          <cell r="Q44">
            <v>11833776659.227205</v>
          </cell>
          <cell r="R44">
            <v>16826412445.339376</v>
          </cell>
          <cell r="S44">
            <v>16209686087.62693</v>
          </cell>
          <cell r="T44">
            <v>7621570579.550271</v>
          </cell>
          <cell r="U44">
            <v>10338624283.434381</v>
          </cell>
          <cell r="V44">
            <v>13965594906.164165</v>
          </cell>
          <cell r="W44">
            <v>15992038366.809713</v>
          </cell>
          <cell r="X44">
            <v>21806136150.352406</v>
          </cell>
          <cell r="Y44">
            <v>29036709871.794872</v>
          </cell>
          <cell r="Z44">
            <v>34509878043.589745</v>
          </cell>
          <cell r="AA44">
            <v>25326722339.499115</v>
          </cell>
          <cell r="AB44">
            <v>20356389841.558617</v>
          </cell>
          <cell r="AC44">
            <v>19623025627.173717</v>
          </cell>
          <cell r="AD44">
            <v>17702885393.51902</v>
          </cell>
          <cell r="AE44">
            <v>18891048818.775158</v>
          </cell>
          <cell r="AF44">
            <v>22255745799.732578</v>
          </cell>
          <cell r="AG44">
            <v>26040052657.08432</v>
          </cell>
          <cell r="AH44">
            <v>29885218681.983452</v>
          </cell>
          <cell r="AI44">
            <v>33113525803.806705</v>
          </cell>
          <cell r="AJ44">
            <v>37835245155.932732</v>
          </cell>
          <cell r="AK44">
            <v>45964855773.987556</v>
          </cell>
          <cell r="AL44">
            <v>49298281355.631699</v>
          </cell>
          <cell r="AM44">
            <v>57008877553.410027</v>
          </cell>
          <cell r="AN44">
            <v>73446446283.016388</v>
          </cell>
          <cell r="AO44">
            <v>78575020639.472778</v>
          </cell>
          <cell r="AP44">
            <v>85728899954.448975</v>
          </cell>
          <cell r="AQ44">
            <v>81995749804.41571</v>
          </cell>
          <cell r="AR44">
            <v>75596598517.358582</v>
          </cell>
          <cell r="AS44">
            <v>78249883995.625504</v>
          </cell>
          <cell r="AT44">
            <v>71517267767.736008</v>
          </cell>
          <cell r="AU44">
            <v>70295232513.051483</v>
          </cell>
          <cell r="AV44">
            <v>76507853875.664856</v>
          </cell>
          <cell r="AW44">
            <v>99079365628.333282</v>
          </cell>
          <cell r="AX44">
            <v>122314960843.9218</v>
          </cell>
          <cell r="AY44">
            <v>153840051814.05875</v>
          </cell>
          <cell r="AZ44">
            <v>172565861848.89862</v>
          </cell>
          <cell r="BA44">
            <v>179663390874.65265</v>
          </cell>
          <cell r="BB44">
            <v>171412643623.96301</v>
          </cell>
          <cell r="BC44">
            <v>217105434199.50043</v>
          </cell>
          <cell r="BD44">
            <v>251224856981.29395</v>
          </cell>
          <cell r="BE44">
            <v>267175870677.6586</v>
          </cell>
          <cell r="BF44">
            <v>277239473853.80658</v>
          </cell>
          <cell r="BG44">
            <v>259405194672.93539</v>
          </cell>
          <cell r="BH44">
            <v>242496655711.51532</v>
          </cell>
          <cell r="BI44">
            <v>249298706449.18231</v>
          </cell>
          <cell r="BJ44">
            <v>276364936832.33075</v>
          </cell>
          <cell r="BK44">
            <v>295402646018.15057</v>
          </cell>
          <cell r="BL44">
            <v>278493308134.09631</v>
          </cell>
          <cell r="BM44">
            <v>254096103516.32416</v>
          </cell>
        </row>
        <row r="45">
          <cell r="B45" t="str">
            <v>CHN</v>
          </cell>
          <cell r="C45" t="str">
            <v>GDP (current US$)</v>
          </cell>
          <cell r="D45" t="str">
            <v>NY.GDP.MKTP.CD</v>
          </cell>
          <cell r="E45">
            <v>59716251765.175552</v>
          </cell>
          <cell r="F45">
            <v>50056688014.574402</v>
          </cell>
          <cell r="G45">
            <v>47209188355.545219</v>
          </cell>
          <cell r="H45">
            <v>50706616610.073219</v>
          </cell>
          <cell r="I45">
            <v>59708127657.731812</v>
          </cell>
          <cell r="J45">
            <v>70436011537.184143</v>
          </cell>
          <cell r="K45">
            <v>76720008644.913315</v>
          </cell>
          <cell r="L45">
            <v>72881367877.748428</v>
          </cell>
          <cell r="M45">
            <v>70846278963.092758</v>
          </cell>
          <cell r="N45">
            <v>79705618130.485992</v>
          </cell>
          <cell r="O45">
            <v>92602638697.415619</v>
          </cell>
          <cell r="P45">
            <v>99800597892.565002</v>
          </cell>
          <cell r="Q45">
            <v>113689285303.37708</v>
          </cell>
          <cell r="R45">
            <v>138543203562.72418</v>
          </cell>
          <cell r="S45">
            <v>144188964286.50159</v>
          </cell>
          <cell r="T45">
            <v>163429496442.80521</v>
          </cell>
          <cell r="U45">
            <v>153939238114.51764</v>
          </cell>
          <cell r="V45">
            <v>174935897086.30905</v>
          </cell>
          <cell r="W45">
            <v>149540752829.26828</v>
          </cell>
          <cell r="X45">
            <v>178280594413.04349</v>
          </cell>
          <cell r="Y45">
            <v>191149211575</v>
          </cell>
          <cell r="Z45">
            <v>195866382432.53967</v>
          </cell>
          <cell r="AA45">
            <v>205089699858.77859</v>
          </cell>
          <cell r="AB45">
            <v>230686747153.25671</v>
          </cell>
          <cell r="AC45">
            <v>259946510957.14288</v>
          </cell>
          <cell r="AD45">
            <v>309488028132.65308</v>
          </cell>
          <cell r="AE45">
            <v>300758100107.24634</v>
          </cell>
          <cell r="AF45">
            <v>272972974764.57401</v>
          </cell>
          <cell r="AG45">
            <v>312353631207.81891</v>
          </cell>
          <cell r="AH45">
            <v>347768051311.74084</v>
          </cell>
          <cell r="AI45">
            <v>360857912565.96558</v>
          </cell>
          <cell r="AJ45">
            <v>383373318083.62366</v>
          </cell>
          <cell r="AK45">
            <v>426915712715.85559</v>
          </cell>
          <cell r="AL45">
            <v>444731282435.51544</v>
          </cell>
          <cell r="AM45">
            <v>564321876346.38721</v>
          </cell>
          <cell r="AN45">
            <v>734484863889.35974</v>
          </cell>
          <cell r="AO45">
            <v>863749314718.53784</v>
          </cell>
          <cell r="AP45">
            <v>961602019650.61511</v>
          </cell>
          <cell r="AQ45">
            <v>1029060706187.8765</v>
          </cell>
          <cell r="AR45">
            <v>1094010482677.3937</v>
          </cell>
          <cell r="AS45">
            <v>1211331627478.9976</v>
          </cell>
          <cell r="AT45">
            <v>1339400843164.8811</v>
          </cell>
          <cell r="AU45">
            <v>1470557565965.5132</v>
          </cell>
          <cell r="AV45">
            <v>1660280610709.71</v>
          </cell>
          <cell r="AW45">
            <v>1955346808095.4397</v>
          </cell>
          <cell r="AX45">
            <v>2285961242869.5493</v>
          </cell>
          <cell r="AY45">
            <v>2752118542130.4038</v>
          </cell>
          <cell r="AZ45">
            <v>3550327569655.4697</v>
          </cell>
          <cell r="BA45">
            <v>4594336785737.6719</v>
          </cell>
          <cell r="BB45">
            <v>5101691085625.9502</v>
          </cell>
          <cell r="BC45">
            <v>6087191720866.6865</v>
          </cell>
          <cell r="BD45">
            <v>7551545321799.875</v>
          </cell>
          <cell r="BE45">
            <v>8532185615746.6201</v>
          </cell>
          <cell r="BF45">
            <v>9570470577244.8555</v>
          </cell>
          <cell r="BG45">
            <v>10475624783235.588</v>
          </cell>
          <cell r="BH45">
            <v>11061573199439.67</v>
          </cell>
          <cell r="BI45">
            <v>11233314018690.053</v>
          </cell>
          <cell r="BJ45">
            <v>12310491176727.342</v>
          </cell>
          <cell r="BK45">
            <v>13894907485398.887</v>
          </cell>
          <cell r="BL45">
            <v>14279968485747.98</v>
          </cell>
          <cell r="BM45">
            <v>14687743556969.611</v>
          </cell>
        </row>
        <row r="46">
          <cell r="B46" t="str">
            <v>CIV</v>
          </cell>
          <cell r="C46" t="str">
            <v>GDP (current US$)</v>
          </cell>
          <cell r="D46" t="str">
            <v>NY.GDP.MKTP.CD</v>
          </cell>
          <cell r="E46">
            <v>546203558.45696485</v>
          </cell>
          <cell r="F46">
            <v>618245635.13480139</v>
          </cell>
          <cell r="G46">
            <v>645284474.55922925</v>
          </cell>
          <cell r="H46">
            <v>761047198.97367692</v>
          </cell>
          <cell r="I46">
            <v>921063326.29279745</v>
          </cell>
          <cell r="J46">
            <v>919771228.03651834</v>
          </cell>
          <cell r="K46">
            <v>1024102881.9025662</v>
          </cell>
          <cell r="L46">
            <v>1082922725.7906902</v>
          </cell>
          <cell r="M46">
            <v>1281281277.9814804</v>
          </cell>
          <cell r="N46">
            <v>1361360291.5872977</v>
          </cell>
          <cell r="O46">
            <v>1455482795.2655528</v>
          </cell>
          <cell r="P46">
            <v>1584128511.2790167</v>
          </cell>
          <cell r="Q46">
            <v>1849400398.2522786</v>
          </cell>
          <cell r="R46">
            <v>2508421425.5766926</v>
          </cell>
          <cell r="S46">
            <v>3070152313.8385439</v>
          </cell>
          <cell r="T46">
            <v>3893839184.0684724</v>
          </cell>
          <cell r="U46">
            <v>4662053819.6290836</v>
          </cell>
          <cell r="V46">
            <v>6265068200.4305506</v>
          </cell>
          <cell r="W46">
            <v>7900526290.128768</v>
          </cell>
          <cell r="X46">
            <v>9142933955.5174942</v>
          </cell>
          <cell r="Y46">
            <v>10175617589.123192</v>
          </cell>
          <cell r="Z46">
            <v>8432589956.3489552</v>
          </cell>
          <cell r="AA46">
            <v>7567110855.8539095</v>
          </cell>
          <cell r="AB46">
            <v>6838184772.0786886</v>
          </cell>
          <cell r="AC46">
            <v>6841639250.2188597</v>
          </cell>
          <cell r="AD46">
            <v>6977650648.4740114</v>
          </cell>
          <cell r="AE46">
            <v>9158302111.361311</v>
          </cell>
          <cell r="AF46">
            <v>10087654451.341026</v>
          </cell>
          <cell r="AG46">
            <v>10255169812.018614</v>
          </cell>
          <cell r="AH46">
            <v>9757410629.7445583</v>
          </cell>
          <cell r="AI46">
            <v>10795850584.587406</v>
          </cell>
          <cell r="AJ46">
            <v>10492628587.859154</v>
          </cell>
          <cell r="AK46">
            <v>11152971284.447853</v>
          </cell>
          <cell r="AL46">
            <v>11045760268.615582</v>
          </cell>
          <cell r="AM46">
            <v>8313557515.3031168</v>
          </cell>
          <cell r="AN46">
            <v>11000146268.688433</v>
          </cell>
          <cell r="AO46">
            <v>18071152820.983219</v>
          </cell>
          <cell r="AP46">
            <v>18047558026.604939</v>
          </cell>
          <cell r="AQ46">
            <v>19619654770.06794</v>
          </cell>
          <cell r="AR46">
            <v>18870992455.730404</v>
          </cell>
          <cell r="AS46">
            <v>16577533891.568796</v>
          </cell>
          <cell r="AT46">
            <v>16810537038.413946</v>
          </cell>
          <cell r="AU46">
            <v>18054383333.522133</v>
          </cell>
          <cell r="AV46">
            <v>21251754334.799885</v>
          </cell>
          <cell r="AW46">
            <v>23510575668.558796</v>
          </cell>
          <cell r="AX46">
            <v>24036918719.337437</v>
          </cell>
          <cell r="AY46">
            <v>25281413268.252487</v>
          </cell>
          <cell r="AZ46">
            <v>28760090924.266552</v>
          </cell>
          <cell r="BA46">
            <v>34078240260.18721</v>
          </cell>
          <cell r="BB46">
            <v>33886813225.179016</v>
          </cell>
          <cell r="BC46">
            <v>34936307964.321251</v>
          </cell>
          <cell r="BD46">
            <v>36693710822.221573</v>
          </cell>
          <cell r="BE46">
            <v>36302302844.019623</v>
          </cell>
          <cell r="BF46">
            <v>42760235496.389809</v>
          </cell>
          <cell r="BG46">
            <v>48843005625.030693</v>
          </cell>
          <cell r="BH46">
            <v>45815005170.612717</v>
          </cell>
          <cell r="BI46">
            <v>48407761031.675758</v>
          </cell>
          <cell r="BJ46">
            <v>52512344033.962479</v>
          </cell>
          <cell r="BK46">
            <v>58522477744.7313</v>
          </cell>
          <cell r="BL46">
            <v>59898479821.194572</v>
          </cell>
          <cell r="BM46">
            <v>62982768371.517365</v>
          </cell>
        </row>
        <row r="47">
          <cell r="B47" t="str">
            <v>CMR</v>
          </cell>
          <cell r="C47" t="str">
            <v>GDP (current US$)</v>
          </cell>
          <cell r="D47" t="str">
            <v>NY.GDP.MKTP.CD</v>
          </cell>
          <cell r="E47">
            <v>614206067.49938893</v>
          </cell>
          <cell r="F47">
            <v>652777609.32880259</v>
          </cell>
          <cell r="G47">
            <v>694247865.267079</v>
          </cell>
          <cell r="H47">
            <v>718320845.93536234</v>
          </cell>
          <cell r="I47">
            <v>776650176.65391779</v>
          </cell>
          <cell r="J47">
            <v>814083264.8214277</v>
          </cell>
          <cell r="K47">
            <v>851112536.08510518</v>
          </cell>
          <cell r="L47">
            <v>936175260.8252151</v>
          </cell>
          <cell r="M47">
            <v>1046191218.8265252</v>
          </cell>
          <cell r="N47">
            <v>1100551487.1399179</v>
          </cell>
          <cell r="O47">
            <v>1151216992.7691362</v>
          </cell>
          <cell r="P47">
            <v>1236941395.5280006</v>
          </cell>
          <cell r="Q47">
            <v>1498251886.9125218</v>
          </cell>
          <cell r="R47">
            <v>1901393360.5687566</v>
          </cell>
          <cell r="S47">
            <v>2157415535.7941222</v>
          </cell>
          <cell r="T47">
            <v>2857037366.5100164</v>
          </cell>
          <cell r="U47">
            <v>2898089998.6171985</v>
          </cell>
          <cell r="V47">
            <v>3394664030.0438385</v>
          </cell>
          <cell r="W47">
            <v>4662852578.2981796</v>
          </cell>
          <cell r="X47">
            <v>5919002975.3013277</v>
          </cell>
          <cell r="Y47">
            <v>6674569033.5821791</v>
          </cell>
          <cell r="Z47">
            <v>6610938627.6043673</v>
          </cell>
          <cell r="AA47">
            <v>6611255969.8918886</v>
          </cell>
          <cell r="AB47">
            <v>6870200009.4566307</v>
          </cell>
          <cell r="AC47">
            <v>7311938029.9145546</v>
          </cell>
          <cell r="AD47">
            <v>8544810503.4740286</v>
          </cell>
          <cell r="AE47">
            <v>11857056214.330095</v>
          </cell>
          <cell r="AF47">
            <v>13049659963.704678</v>
          </cell>
          <cell r="AG47">
            <v>12236057369.911959</v>
          </cell>
          <cell r="AH47">
            <v>11012566178.182518</v>
          </cell>
          <cell r="AI47">
            <v>12314482629.908155</v>
          </cell>
          <cell r="AJ47">
            <v>11840192304.413246</v>
          </cell>
          <cell r="AK47">
            <v>12071775346.418661</v>
          </cell>
          <cell r="AL47">
            <v>16181814683.955118</v>
          </cell>
          <cell r="AM47">
            <v>8902446257.7044525</v>
          </cell>
          <cell r="AN47">
            <v>10864772473.052423</v>
          </cell>
          <cell r="AO47">
            <v>11093538840.538464</v>
          </cell>
          <cell r="AP47">
            <v>10789458426.108828</v>
          </cell>
          <cell r="AQ47">
            <v>11298144998.696455</v>
          </cell>
          <cell r="AR47">
            <v>11565826458.894493</v>
          </cell>
          <cell r="AS47">
            <v>10566579294.516369</v>
          </cell>
          <cell r="AT47">
            <v>10953485345.221582</v>
          </cell>
          <cell r="AU47">
            <v>12417251341.603222</v>
          </cell>
          <cell r="AV47">
            <v>15970315030.240648</v>
          </cell>
          <cell r="AW47">
            <v>18826214125.232536</v>
          </cell>
          <cell r="AX47">
            <v>19509852219.329796</v>
          </cell>
          <cell r="AY47">
            <v>20910512978.171627</v>
          </cell>
          <cell r="AZ47">
            <v>23928250410.058796</v>
          </cell>
          <cell r="BA47">
            <v>27715142005.570396</v>
          </cell>
          <cell r="BB47">
            <v>27932970297.064392</v>
          </cell>
          <cell r="BC47">
            <v>27507501809.241444</v>
          </cell>
          <cell r="BD47">
            <v>30630910513.061562</v>
          </cell>
          <cell r="BE47">
            <v>30155062302.844303</v>
          </cell>
          <cell r="BF47">
            <v>33728621190.211395</v>
          </cell>
          <cell r="BG47">
            <v>36386544716.079384</v>
          </cell>
          <cell r="BH47">
            <v>32210233021.573498</v>
          </cell>
          <cell r="BI47">
            <v>33814337040.780407</v>
          </cell>
          <cell r="BJ47">
            <v>36098547058.787704</v>
          </cell>
          <cell r="BK47">
            <v>39973842058.565033</v>
          </cell>
          <cell r="BL47">
            <v>39670976440.315842</v>
          </cell>
          <cell r="BM47">
            <v>40773241211.694084</v>
          </cell>
        </row>
        <row r="48">
          <cell r="B48" t="str">
            <v>COD</v>
          </cell>
          <cell r="C48" t="str">
            <v>GDP (current US$)</v>
          </cell>
          <cell r="D48" t="str">
            <v>NY.GDP.MKTP.CD</v>
          </cell>
          <cell r="E48">
            <v>3359404117.647059</v>
          </cell>
          <cell r="F48">
            <v>3086746857.1428571</v>
          </cell>
          <cell r="G48">
            <v>3779841428.5714288</v>
          </cell>
          <cell r="H48">
            <v>6213185742.5742579</v>
          </cell>
          <cell r="I48">
            <v>2881545272.727273</v>
          </cell>
          <cell r="J48">
            <v>4043901818.1818185</v>
          </cell>
          <cell r="K48">
            <v>4532660181.818182</v>
          </cell>
          <cell r="L48">
            <v>3384063371.7579155</v>
          </cell>
          <cell r="M48">
            <v>3909780538.9221559</v>
          </cell>
          <cell r="N48">
            <v>5032434970.0598803</v>
          </cell>
          <cell r="O48">
            <v>4877684910.1796417</v>
          </cell>
          <cell r="P48">
            <v>5594770359.2814379</v>
          </cell>
          <cell r="Q48">
            <v>6173712814.3712568</v>
          </cell>
          <cell r="R48">
            <v>7870239461.0778446</v>
          </cell>
          <cell r="S48">
            <v>9596960179.6407204</v>
          </cell>
          <cell r="T48">
            <v>10237343173.652695</v>
          </cell>
          <cell r="U48">
            <v>9648583224.9921227</v>
          </cell>
          <cell r="V48">
            <v>12344424763.57268</v>
          </cell>
          <cell r="W48">
            <v>15372608002.392328</v>
          </cell>
          <cell r="X48">
            <v>15068422236.366274</v>
          </cell>
          <cell r="Y48">
            <v>14394927494.8647</v>
          </cell>
          <cell r="Z48">
            <v>12537821038.220222</v>
          </cell>
          <cell r="AA48">
            <v>13651667371.167646</v>
          </cell>
          <cell r="AB48">
            <v>11006712650.448143</v>
          </cell>
          <cell r="AC48">
            <v>7857729193.2034254</v>
          </cell>
          <cell r="AD48">
            <v>7195042616.0071001</v>
          </cell>
          <cell r="AE48">
            <v>8095367168.2176886</v>
          </cell>
          <cell r="AF48">
            <v>7661625472.5770502</v>
          </cell>
          <cell r="AG48">
            <v>8861299976.7415752</v>
          </cell>
          <cell r="AH48">
            <v>9021862775.1811161</v>
          </cell>
          <cell r="AI48">
            <v>9349764580.4117336</v>
          </cell>
          <cell r="AJ48">
            <v>9625436872.510746</v>
          </cell>
          <cell r="AK48">
            <v>8227343907.2667894</v>
          </cell>
          <cell r="AL48">
            <v>10706259936.742533</v>
          </cell>
          <cell r="AM48">
            <v>5820382248.2820158</v>
          </cell>
          <cell r="AN48">
            <v>5643439376.1049137</v>
          </cell>
          <cell r="AO48">
            <v>5771454939.6240406</v>
          </cell>
          <cell r="AP48">
            <v>6090840548.1878386</v>
          </cell>
          <cell r="AQ48">
            <v>6217806273.3108187</v>
          </cell>
          <cell r="AR48">
            <v>4711259427.272727</v>
          </cell>
          <cell r="AS48">
            <v>19088046305.7971</v>
          </cell>
          <cell r="AT48">
            <v>7438189100.333333</v>
          </cell>
          <cell r="AU48">
            <v>8728038525.1403351</v>
          </cell>
          <cell r="AV48">
            <v>8937567059.8775425</v>
          </cell>
          <cell r="AW48">
            <v>10297483481.223013</v>
          </cell>
          <cell r="AX48">
            <v>11964484457.523331</v>
          </cell>
          <cell r="AY48">
            <v>14451901696.387831</v>
          </cell>
          <cell r="AZ48">
            <v>16737071816.379993</v>
          </cell>
          <cell r="BA48">
            <v>19788515579.049801</v>
          </cell>
          <cell r="BB48">
            <v>18648372544.798374</v>
          </cell>
          <cell r="BC48">
            <v>21565721036.359119</v>
          </cell>
          <cell r="BD48">
            <v>25839749198.823307</v>
          </cell>
          <cell r="BE48">
            <v>29306235295.337059</v>
          </cell>
          <cell r="BF48">
            <v>32679745036.265877</v>
          </cell>
          <cell r="BG48">
            <v>35909040943.88501</v>
          </cell>
          <cell r="BH48">
            <v>37917706485.589607</v>
          </cell>
          <cell r="BI48">
            <v>37134801548.83596</v>
          </cell>
          <cell r="BJ48">
            <v>38019264804.512543</v>
          </cell>
          <cell r="BK48">
            <v>47568210020.933807</v>
          </cell>
          <cell r="BL48">
            <v>51775829868.766861</v>
          </cell>
          <cell r="BM48">
            <v>48716961864.537788</v>
          </cell>
        </row>
        <row r="49">
          <cell r="B49" t="str">
            <v>COG</v>
          </cell>
          <cell r="C49" t="str">
            <v>GDP (current US$)</v>
          </cell>
          <cell r="D49" t="str">
            <v>NY.GDP.MKTP.CD</v>
          </cell>
          <cell r="E49">
            <v>131731862.56899737</v>
          </cell>
          <cell r="F49">
            <v>151675739.16062728</v>
          </cell>
          <cell r="G49">
            <v>166521239.86328056</v>
          </cell>
          <cell r="H49">
            <v>172233430.87150151</v>
          </cell>
          <cell r="I49">
            <v>185693724.84533143</v>
          </cell>
          <cell r="J49">
            <v>198318063.86083451</v>
          </cell>
          <cell r="K49">
            <v>220613582.36982656</v>
          </cell>
          <cell r="L49">
            <v>237397428.33642918</v>
          </cell>
          <cell r="M49">
            <v>251247458.01218912</v>
          </cell>
          <cell r="N49">
            <v>265040036.05911562</v>
          </cell>
          <cell r="O49">
            <v>274960699.85855001</v>
          </cell>
          <cell r="P49">
            <v>322128019.32356131</v>
          </cell>
          <cell r="Q49">
            <v>410669262.89792931</v>
          </cell>
          <cell r="R49">
            <v>541973362.48099756</v>
          </cell>
          <cell r="S49">
            <v>585364635.35474765</v>
          </cell>
          <cell r="T49">
            <v>767102679.0186218</v>
          </cell>
          <cell r="U49">
            <v>754549600.54818189</v>
          </cell>
          <cell r="V49">
            <v>765224030.63655174</v>
          </cell>
          <cell r="W49">
            <v>878771771.29105008</v>
          </cell>
          <cell r="X49">
            <v>1198749665.9506621</v>
          </cell>
          <cell r="Y49">
            <v>1705796849.5465524</v>
          </cell>
          <cell r="Z49">
            <v>1993512325.9228613</v>
          </cell>
          <cell r="AA49">
            <v>2160640566.539598</v>
          </cell>
          <cell r="AB49">
            <v>2097274289.6151164</v>
          </cell>
          <cell r="AC49">
            <v>2193581366.4072165</v>
          </cell>
          <cell r="AD49">
            <v>2160872541.4188676</v>
          </cell>
          <cell r="AE49">
            <v>1849268214.6818438</v>
          </cell>
          <cell r="AF49">
            <v>2297753649.2797918</v>
          </cell>
          <cell r="AG49">
            <v>2212536313.3349228</v>
          </cell>
          <cell r="AH49">
            <v>2389593021.9486561</v>
          </cell>
          <cell r="AI49">
            <v>2798746050.582356</v>
          </cell>
          <cell r="AJ49">
            <v>2724853507.6499581</v>
          </cell>
          <cell r="AK49">
            <v>2933222705.7974019</v>
          </cell>
          <cell r="AL49">
            <v>2684323618.4036517</v>
          </cell>
          <cell r="AM49">
            <v>1769365438.8852608</v>
          </cell>
          <cell r="AN49">
            <v>2116003868.1737292</v>
          </cell>
          <cell r="AO49">
            <v>2540697537.7042375</v>
          </cell>
          <cell r="AP49">
            <v>2322719101.2845545</v>
          </cell>
          <cell r="AQ49">
            <v>1949481380.6492543</v>
          </cell>
          <cell r="AR49">
            <v>2354772959.0618577</v>
          </cell>
          <cell r="AS49">
            <v>3227927697.4366474</v>
          </cell>
          <cell r="AT49">
            <v>2796704603.0444269</v>
          </cell>
          <cell r="AU49">
            <v>3034250926.180088</v>
          </cell>
          <cell r="AV49">
            <v>3503723086.7027969</v>
          </cell>
          <cell r="AW49">
            <v>4656974937.5522718</v>
          </cell>
          <cell r="AX49">
            <v>6650001684.9044991</v>
          </cell>
          <cell r="AY49">
            <v>8072305030.6848383</v>
          </cell>
          <cell r="AZ49">
            <v>8782703427.9608459</v>
          </cell>
          <cell r="BA49">
            <v>11649857662.138828</v>
          </cell>
          <cell r="BB49">
            <v>9723299908.1947289</v>
          </cell>
          <cell r="BC49">
            <v>13148396205.671043</v>
          </cell>
          <cell r="BD49">
            <v>15655383585.988747</v>
          </cell>
          <cell r="BE49">
            <v>17692911280.562691</v>
          </cell>
          <cell r="BF49">
            <v>17958720704.459644</v>
          </cell>
          <cell r="BG49">
            <v>17912907682.066257</v>
          </cell>
          <cell r="BH49">
            <v>11890259176.682888</v>
          </cell>
          <cell r="BI49">
            <v>10219341017.138281</v>
          </cell>
          <cell r="BJ49">
            <v>11094823676.59145</v>
          </cell>
          <cell r="BK49">
            <v>13670038019.859396</v>
          </cell>
          <cell r="BL49">
            <v>12750338736.166126</v>
          </cell>
          <cell r="BM49">
            <v>10483151093.687271</v>
          </cell>
        </row>
        <row r="50">
          <cell r="B50" t="str">
            <v>COL</v>
          </cell>
          <cell r="C50" t="str">
            <v>GDP (current US$)</v>
          </cell>
          <cell r="D50" t="str">
            <v>NY.GDP.MKTP.CD</v>
          </cell>
          <cell r="E50">
            <v>4031152977.2465944</v>
          </cell>
          <cell r="F50">
            <v>4540447761.8717089</v>
          </cell>
          <cell r="G50">
            <v>4955537980.0585079</v>
          </cell>
          <cell r="H50">
            <v>4836166666.666667</v>
          </cell>
          <cell r="I50">
            <v>5973366666.666667</v>
          </cell>
          <cell r="J50">
            <v>5760761904.7619047</v>
          </cell>
          <cell r="K50">
            <v>5428518518.5185184</v>
          </cell>
          <cell r="L50">
            <v>5825170438.4870434</v>
          </cell>
          <cell r="M50">
            <v>5960212869.1296797</v>
          </cell>
          <cell r="N50">
            <v>6450175213.7492275</v>
          </cell>
          <cell r="O50">
            <v>7198360460.1988707</v>
          </cell>
          <cell r="P50">
            <v>7820380970.5367403</v>
          </cell>
          <cell r="Q50">
            <v>8671358732.6848583</v>
          </cell>
          <cell r="R50">
            <v>10315760000.33939</v>
          </cell>
          <cell r="S50">
            <v>12370029583.641897</v>
          </cell>
          <cell r="T50">
            <v>13098633901.867271</v>
          </cell>
          <cell r="U50">
            <v>15341403660.469809</v>
          </cell>
          <cell r="V50">
            <v>19470960619.129715</v>
          </cell>
          <cell r="W50">
            <v>23263511958.050903</v>
          </cell>
          <cell r="X50">
            <v>27940411250.27322</v>
          </cell>
          <cell r="Y50">
            <v>33400735644.048115</v>
          </cell>
          <cell r="Z50">
            <v>36388366869.03093</v>
          </cell>
          <cell r="AA50">
            <v>38968039721.748032</v>
          </cell>
          <cell r="AB50">
            <v>38729822781.599724</v>
          </cell>
          <cell r="AC50">
            <v>38253120737.967117</v>
          </cell>
          <cell r="AD50">
            <v>34894419525.281685</v>
          </cell>
          <cell r="AE50">
            <v>34942489683.971237</v>
          </cell>
          <cell r="AF50">
            <v>36373307085.088745</v>
          </cell>
          <cell r="AG50">
            <v>39212550050.422279</v>
          </cell>
          <cell r="AH50">
            <v>39540080200.393814</v>
          </cell>
          <cell r="AI50">
            <v>47844090709.990845</v>
          </cell>
          <cell r="AJ50">
            <v>49637993948.840195</v>
          </cell>
          <cell r="AK50">
            <v>58394443348.933167</v>
          </cell>
          <cell r="AL50">
            <v>66474101329.354294</v>
          </cell>
          <cell r="AM50">
            <v>81705497616.570282</v>
          </cell>
          <cell r="AN50">
            <v>92495970511.395065</v>
          </cell>
          <cell r="AO50">
            <v>97153389010.946609</v>
          </cell>
          <cell r="AP50">
            <v>106656492324.76929</v>
          </cell>
          <cell r="AQ50">
            <v>98486358604.178391</v>
          </cell>
          <cell r="AR50">
            <v>86278947620.590637</v>
          </cell>
          <cell r="AS50">
            <v>99875074935.083038</v>
          </cell>
          <cell r="AT50">
            <v>98200641189.156754</v>
          </cell>
          <cell r="AU50">
            <v>97945812789.853256</v>
          </cell>
          <cell r="AV50">
            <v>94644969146.135178</v>
          </cell>
          <cell r="AW50">
            <v>117092416651.3954</v>
          </cell>
          <cell r="AX50">
            <v>145600527535.7706</v>
          </cell>
          <cell r="AY50">
            <v>161792959247.8504</v>
          </cell>
          <cell r="AZ50">
            <v>206229536757.67429</v>
          </cell>
          <cell r="BA50">
            <v>242504150472.93127</v>
          </cell>
          <cell r="BB50">
            <v>232468666665.15262</v>
          </cell>
          <cell r="BC50">
            <v>286498534094.96326</v>
          </cell>
          <cell r="BD50">
            <v>334966134865.30542</v>
          </cell>
          <cell r="BE50">
            <v>370691143086.76093</v>
          </cell>
          <cell r="BF50">
            <v>382093697077.68494</v>
          </cell>
          <cell r="BG50">
            <v>381240864422.40662</v>
          </cell>
          <cell r="BH50">
            <v>293492370228.84717</v>
          </cell>
          <cell r="BI50">
            <v>282720100286.22815</v>
          </cell>
          <cell r="BJ50">
            <v>311866875135.57623</v>
          </cell>
          <cell r="BK50">
            <v>334198218100.71594</v>
          </cell>
          <cell r="BL50">
            <v>323031701210.76727</v>
          </cell>
          <cell r="BM50">
            <v>270150956772.56732</v>
          </cell>
        </row>
        <row r="51">
          <cell r="B51" t="str">
            <v>COM</v>
          </cell>
          <cell r="C51" t="str">
            <v>GDP (current US$)</v>
          </cell>
          <cell r="D51" t="str">
            <v>NY.GDP.MKTP.CD</v>
          </cell>
          <cell r="Y51">
            <v>212218261.54140893</v>
          </cell>
          <cell r="Z51">
            <v>196349931.60257471</v>
          </cell>
          <cell r="AA51">
            <v>184009013.50193912</v>
          </cell>
          <cell r="AB51">
            <v>191621954.90903893</v>
          </cell>
          <cell r="AC51">
            <v>184697225.61905673</v>
          </cell>
          <cell r="AD51">
            <v>196726096.46777335</v>
          </cell>
          <cell r="AE51">
            <v>279197721.82498914</v>
          </cell>
          <cell r="AF51">
            <v>337525853.01580954</v>
          </cell>
          <cell r="AG51">
            <v>356500032.83085006</v>
          </cell>
          <cell r="AH51">
            <v>341476768.07969958</v>
          </cell>
          <cell r="AI51">
            <v>429622178.04298443</v>
          </cell>
          <cell r="AJ51">
            <v>424108769.12446463</v>
          </cell>
          <cell r="AK51">
            <v>457388651.90244406</v>
          </cell>
          <cell r="AL51">
            <v>452881475.07695633</v>
          </cell>
          <cell r="AM51">
            <v>319189184.2925685</v>
          </cell>
          <cell r="AN51">
            <v>398461796.74169254</v>
          </cell>
          <cell r="AO51">
            <v>396053806.39955705</v>
          </cell>
          <cell r="AP51">
            <v>364445600.13315159</v>
          </cell>
          <cell r="AQ51">
            <v>370106745.98028666</v>
          </cell>
          <cell r="AR51">
            <v>382454989.94531095</v>
          </cell>
          <cell r="AS51">
            <v>351136579.79792869</v>
          </cell>
          <cell r="AT51">
            <v>378512024.11533797</v>
          </cell>
          <cell r="AU51">
            <v>425964681.14894468</v>
          </cell>
          <cell r="AV51">
            <v>546885223.1791327</v>
          </cell>
          <cell r="AW51">
            <v>633706110.44522548</v>
          </cell>
          <cell r="AX51">
            <v>653845169.18970764</v>
          </cell>
          <cell r="AY51">
            <v>698431794.45854926</v>
          </cell>
          <cell r="AZ51">
            <v>795673153.18343496</v>
          </cell>
          <cell r="BA51">
            <v>915659107.76163745</v>
          </cell>
          <cell r="BB51">
            <v>905341173.97367406</v>
          </cell>
          <cell r="BC51">
            <v>907978731.70211816</v>
          </cell>
          <cell r="BD51">
            <v>1023086272.696221</v>
          </cell>
          <cell r="BE51">
            <v>1015843491.2463779</v>
          </cell>
          <cell r="BF51">
            <v>1116224107.1712325</v>
          </cell>
          <cell r="BG51">
            <v>1149587659.745049</v>
          </cell>
          <cell r="BH51">
            <v>966029599.80132174</v>
          </cell>
          <cell r="BI51">
            <v>1012835492.5158547</v>
          </cell>
          <cell r="BJ51">
            <v>1077439756.1222379</v>
          </cell>
          <cell r="BK51">
            <v>1188797449.9603579</v>
          </cell>
          <cell r="BL51">
            <v>1195019531.0367079</v>
          </cell>
          <cell r="BM51">
            <v>1225039195.9374392</v>
          </cell>
        </row>
        <row r="52">
          <cell r="B52" t="str">
            <v>CPV</v>
          </cell>
          <cell r="C52" t="str">
            <v>GDP (current US$)</v>
          </cell>
          <cell r="D52" t="str">
            <v>NY.GDP.MKTP.CD</v>
          </cell>
          <cell r="Y52">
            <v>142246816.52877709</v>
          </cell>
          <cell r="Z52">
            <v>139468210.07378215</v>
          </cell>
          <cell r="AA52">
            <v>140630678.18153432</v>
          </cell>
          <cell r="AB52">
            <v>138476174.97806954</v>
          </cell>
          <cell r="AC52">
            <v>132019039.11087205</v>
          </cell>
          <cell r="AD52">
            <v>137728205.31525761</v>
          </cell>
          <cell r="AE52">
            <v>190651168.35232836</v>
          </cell>
          <cell r="AF52">
            <v>235253063.62768674</v>
          </cell>
          <cell r="AG52">
            <v>264308140.28514937</v>
          </cell>
          <cell r="AH52">
            <v>267448570.27134773</v>
          </cell>
          <cell r="AI52">
            <v>306890961.18880135</v>
          </cell>
          <cell r="AJ52">
            <v>319827058.59287477</v>
          </cell>
          <cell r="AK52">
            <v>357160985.32741332</v>
          </cell>
          <cell r="AL52">
            <v>490417389.68256927</v>
          </cell>
          <cell r="AM52">
            <v>406580652.33053684</v>
          </cell>
          <cell r="AN52">
            <v>487148993.53310871</v>
          </cell>
          <cell r="AO52">
            <v>501979271.86989433</v>
          </cell>
          <cell r="AP52">
            <v>490608657.92497611</v>
          </cell>
          <cell r="AQ52">
            <v>521910560.52486807</v>
          </cell>
          <cell r="AR52">
            <v>592416703.05887806</v>
          </cell>
          <cell r="AS52">
            <v>539227277.62641084</v>
          </cell>
          <cell r="AT52">
            <v>563090488.85402167</v>
          </cell>
          <cell r="AU52">
            <v>620507385.70220566</v>
          </cell>
          <cell r="AV52">
            <v>813260468.87383366</v>
          </cell>
          <cell r="AW52">
            <v>924940012.85542047</v>
          </cell>
          <cell r="AX52">
            <v>972241682.104792</v>
          </cell>
          <cell r="AY52">
            <v>1107571459.0230646</v>
          </cell>
          <cell r="AZ52">
            <v>1649621735.4134324</v>
          </cell>
          <cell r="BA52">
            <v>1959620652.5074551</v>
          </cell>
          <cell r="BB52">
            <v>1852334581.4753435</v>
          </cell>
          <cell r="BC52">
            <v>1824751459.6930368</v>
          </cell>
          <cell r="BD52">
            <v>2046817974.9083784</v>
          </cell>
          <cell r="BE52">
            <v>1913081206.3205247</v>
          </cell>
          <cell r="BF52">
            <v>2028910915.1644647</v>
          </cell>
          <cell r="BG52">
            <v>2041930125.4297915</v>
          </cell>
          <cell r="BH52">
            <v>1749857628.4071629</v>
          </cell>
          <cell r="BI52">
            <v>1849789992.7432771</v>
          </cell>
          <cell r="BJ52">
            <v>1996741544.6154883</v>
          </cell>
          <cell r="BK52">
            <v>2205099509.1592102</v>
          </cell>
          <cell r="BL52">
            <v>2266752197.4261708</v>
          </cell>
          <cell r="BM52">
            <v>1878277311.2252951</v>
          </cell>
        </row>
        <row r="53">
          <cell r="B53" t="str">
            <v>CRI</v>
          </cell>
          <cell r="C53" t="str">
            <v>GDP (current US$)</v>
          </cell>
          <cell r="D53" t="str">
            <v>NY.GDP.MKTP.CD</v>
          </cell>
          <cell r="E53">
            <v>507513829.99485475</v>
          </cell>
          <cell r="F53">
            <v>490325181.61427474</v>
          </cell>
          <cell r="G53">
            <v>479180824.34850603</v>
          </cell>
          <cell r="H53">
            <v>511902136.80997276</v>
          </cell>
          <cell r="I53">
            <v>542578367.24259782</v>
          </cell>
          <cell r="J53">
            <v>592981161.76067638</v>
          </cell>
          <cell r="K53">
            <v>647305629.63908017</v>
          </cell>
          <cell r="L53">
            <v>699456618.2740463</v>
          </cell>
          <cell r="M53">
            <v>773841493.68258739</v>
          </cell>
          <cell r="N53">
            <v>853630203.04880452</v>
          </cell>
          <cell r="O53">
            <v>984830157.6543895</v>
          </cell>
          <cell r="P53">
            <v>1077147482.5107365</v>
          </cell>
          <cell r="Q53">
            <v>1238251695.740505</v>
          </cell>
          <cell r="R53">
            <v>1528925769.809433</v>
          </cell>
          <cell r="S53">
            <v>1666544754.3085177</v>
          </cell>
          <cell r="T53">
            <v>1960863465.806402</v>
          </cell>
          <cell r="U53">
            <v>2412555426.1858292</v>
          </cell>
          <cell r="V53">
            <v>3072427013.1939821</v>
          </cell>
          <cell r="W53">
            <v>3523208810.2127433</v>
          </cell>
          <cell r="X53">
            <v>4035519323.6914258</v>
          </cell>
          <cell r="Y53">
            <v>4831447001.6836452</v>
          </cell>
          <cell r="Z53">
            <v>2623803055.6985679</v>
          </cell>
          <cell r="AA53">
            <v>2606623577.8574958</v>
          </cell>
          <cell r="AB53">
            <v>3146772656.3741002</v>
          </cell>
          <cell r="AC53">
            <v>3660477828.8579845</v>
          </cell>
          <cell r="AD53">
            <v>3919203960.3960395</v>
          </cell>
          <cell r="AE53">
            <v>4418983870.967742</v>
          </cell>
          <cell r="AF53">
            <v>4532952047.1562843</v>
          </cell>
          <cell r="AG53">
            <v>4614629898.4034834</v>
          </cell>
          <cell r="AH53">
            <v>5251025767.4762669</v>
          </cell>
          <cell r="AI53">
            <v>5711687786.7598858</v>
          </cell>
          <cell r="AJ53">
            <v>7196276092.4609976</v>
          </cell>
          <cell r="AK53">
            <v>8564041894.9293804</v>
          </cell>
          <cell r="AL53">
            <v>9582868509.8999805</v>
          </cell>
          <cell r="AM53">
            <v>10486787030.348024</v>
          </cell>
          <cell r="AN53">
            <v>11578594259.867506</v>
          </cell>
          <cell r="AO53">
            <v>11678424507.245678</v>
          </cell>
          <cell r="AP53">
            <v>12614602382.201204</v>
          </cell>
          <cell r="AQ53">
            <v>13684255946.576462</v>
          </cell>
          <cell r="AR53">
            <v>14254866281.153738</v>
          </cell>
          <cell r="AS53">
            <v>15013629658.65213</v>
          </cell>
          <cell r="AT53">
            <v>15976174336.972055</v>
          </cell>
          <cell r="AU53">
            <v>16578820687.28809</v>
          </cell>
          <cell r="AV53">
            <v>17271760506.948277</v>
          </cell>
          <cell r="AW53">
            <v>18610594846.208298</v>
          </cell>
          <cell r="AX53">
            <v>20040642476.98167</v>
          </cell>
          <cell r="AY53">
            <v>22715540324.303177</v>
          </cell>
          <cell r="AZ53">
            <v>26884700345.034168</v>
          </cell>
          <cell r="BA53">
            <v>30801744881.000069</v>
          </cell>
          <cell r="BB53">
            <v>30745714326.94862</v>
          </cell>
          <cell r="BC53">
            <v>37658614803.277481</v>
          </cell>
          <cell r="BD53">
            <v>42762613705.783485</v>
          </cell>
          <cell r="BE53">
            <v>47231655433.466644</v>
          </cell>
          <cell r="BF53">
            <v>50949668885.987549</v>
          </cell>
          <cell r="BG53">
            <v>52016408923.928871</v>
          </cell>
          <cell r="BH53">
            <v>56441920823.763199</v>
          </cell>
          <cell r="BI53">
            <v>58847019584.914368</v>
          </cell>
          <cell r="BJ53">
            <v>60516044623.48761</v>
          </cell>
          <cell r="BK53">
            <v>62420164964.698738</v>
          </cell>
          <cell r="BL53">
            <v>64417670555.782127</v>
          </cell>
          <cell r="BM53">
            <v>62395610764.070541</v>
          </cell>
        </row>
        <row r="54">
          <cell r="B54" t="str">
            <v>CSS</v>
          </cell>
          <cell r="C54" t="str">
            <v>GDP (current US$)</v>
          </cell>
          <cell r="D54" t="str">
            <v>NY.GDP.MKTP.CD</v>
          </cell>
          <cell r="E54">
            <v>1880325752.2769554</v>
          </cell>
          <cell r="F54">
            <v>2038322827.2831333</v>
          </cell>
          <cell r="G54">
            <v>2153917654.8721371</v>
          </cell>
          <cell r="H54">
            <v>2290336890.9231329</v>
          </cell>
          <cell r="I54">
            <v>2470289708.5394812</v>
          </cell>
          <cell r="J54">
            <v>2661014415.8630834</v>
          </cell>
          <cell r="K54">
            <v>2888723567.1039295</v>
          </cell>
          <cell r="L54">
            <v>3102559321.5937171</v>
          </cell>
          <cell r="M54">
            <v>3083639279.1631451</v>
          </cell>
          <cell r="N54">
            <v>3359755873.6523628</v>
          </cell>
          <cell r="O54">
            <v>3695311705.1814895</v>
          </cell>
          <cell r="P54">
            <v>4017469942.9706383</v>
          </cell>
          <cell r="Q54">
            <v>4639346339.9348049</v>
          </cell>
          <cell r="R54">
            <v>5076128906.8503313</v>
          </cell>
          <cell r="S54">
            <v>6595536763.8741245</v>
          </cell>
          <cell r="T54">
            <v>7706927757.5883617</v>
          </cell>
          <cell r="U54">
            <v>7932366003.3472271</v>
          </cell>
          <cell r="V54">
            <v>9210519153.4788609</v>
          </cell>
          <cell r="W54">
            <v>9433730362.323307</v>
          </cell>
          <cell r="X54">
            <v>10835454135.430513</v>
          </cell>
          <cell r="Y54">
            <v>13495237652.20249</v>
          </cell>
          <cell r="Z54">
            <v>14890283926.40851</v>
          </cell>
          <cell r="AA54">
            <v>16517790345.786825</v>
          </cell>
          <cell r="AB54">
            <v>16735543669.624264</v>
          </cell>
          <cell r="AC54">
            <v>15982824810.112768</v>
          </cell>
          <cell r="AD54">
            <v>15814763265.96315</v>
          </cell>
          <cell r="AE54">
            <v>14441261965.780909</v>
          </cell>
          <cell r="AF54">
            <v>15521767449.363405</v>
          </cell>
          <cell r="AG54">
            <v>16459954911.607769</v>
          </cell>
          <cell r="AH54">
            <v>16872865240.850355</v>
          </cell>
          <cell r="AI54">
            <v>18149076125.768444</v>
          </cell>
          <cell r="AJ54">
            <v>18032792661.637135</v>
          </cell>
          <cell r="AK54">
            <v>17750354024.322315</v>
          </cell>
          <cell r="AL54">
            <v>19224165269.235394</v>
          </cell>
          <cell r="AM54">
            <v>20205168289.82703</v>
          </cell>
          <cell r="AN54">
            <v>22270861759.544807</v>
          </cell>
          <cell r="AO54">
            <v>24291634283.2029</v>
          </cell>
          <cell r="AP54">
            <v>28416253263.307064</v>
          </cell>
          <cell r="AQ54">
            <v>30354024137.654743</v>
          </cell>
          <cell r="AR54">
            <v>32186912968.843258</v>
          </cell>
          <cell r="AS54">
            <v>34533836399.502869</v>
          </cell>
          <cell r="AT54">
            <v>35575792426.039047</v>
          </cell>
          <cell r="AU54">
            <v>37324429141.845955</v>
          </cell>
          <cell r="AV54">
            <v>39887632895.123985</v>
          </cell>
          <cell r="AW54">
            <v>43625669537.959648</v>
          </cell>
          <cell r="AX54">
            <v>49307227387.136299</v>
          </cell>
          <cell r="AY54">
            <v>56074290119.342987</v>
          </cell>
          <cell r="AZ54">
            <v>62328938789.320938</v>
          </cell>
          <cell r="BA54">
            <v>70781391356.035629</v>
          </cell>
          <cell r="BB54">
            <v>59840574173.76149</v>
          </cell>
          <cell r="BC54">
            <v>64939019150.204788</v>
          </cell>
          <cell r="BD54">
            <v>70074558334.330963</v>
          </cell>
          <cell r="BE54">
            <v>73844945660.746338</v>
          </cell>
          <cell r="BF54">
            <v>75227025825.655014</v>
          </cell>
          <cell r="BG54">
            <v>76921753855.80632</v>
          </cell>
          <cell r="BH54">
            <v>75480329446.946289</v>
          </cell>
          <cell r="BI54">
            <v>70977854236.846985</v>
          </cell>
          <cell r="BJ54">
            <v>73482494257.102875</v>
          </cell>
          <cell r="BK54">
            <v>76247249561.298065</v>
          </cell>
          <cell r="BL54">
            <v>77282796215.9198</v>
          </cell>
          <cell r="BM54">
            <v>65994922945.392448</v>
          </cell>
        </row>
        <row r="55">
          <cell r="B55" t="str">
            <v>CUB</v>
          </cell>
          <cell r="C55" t="str">
            <v>GDP (current US$)</v>
          </cell>
          <cell r="D55" t="str">
            <v>NY.GDP.MKTP.CD</v>
          </cell>
          <cell r="O55">
            <v>5693005200</v>
          </cell>
          <cell r="P55">
            <v>6914658400</v>
          </cell>
          <cell r="Q55">
            <v>8135150891.9202518</v>
          </cell>
          <cell r="R55">
            <v>9987709650.1809406</v>
          </cell>
          <cell r="S55">
            <v>11405957317.073172</v>
          </cell>
          <cell r="T55">
            <v>13027415243.902439</v>
          </cell>
          <cell r="U55">
            <v>13789579902.557858</v>
          </cell>
          <cell r="V55">
            <v>14206158674.698795</v>
          </cell>
          <cell r="W55">
            <v>17844705324.675323</v>
          </cell>
          <cell r="X55">
            <v>19584443287.671234</v>
          </cell>
          <cell r="Y55">
            <v>19912889861.111111</v>
          </cell>
          <cell r="Z55">
            <v>20150254096.385544</v>
          </cell>
          <cell r="AA55">
            <v>20953510235.294117</v>
          </cell>
          <cell r="AB55">
            <v>22204940512.223515</v>
          </cell>
          <cell r="AC55">
            <v>24039383608.42345</v>
          </cell>
          <cell r="AD55">
            <v>22920490774.101974</v>
          </cell>
          <cell r="AE55">
            <v>24226574634.029278</v>
          </cell>
          <cell r="AF55">
            <v>25213935012.081902</v>
          </cell>
          <cell r="AG55">
            <v>27458999472.295513</v>
          </cell>
          <cell r="AH55">
            <v>27023468665.897732</v>
          </cell>
          <cell r="AI55">
            <v>28645436569.148937</v>
          </cell>
          <cell r="AJ55">
            <v>24316556025.658524</v>
          </cell>
          <cell r="AK55">
            <v>22085858243.243244</v>
          </cell>
          <cell r="AL55">
            <v>22367254864.864864</v>
          </cell>
          <cell r="AM55">
            <v>28448326756.756756</v>
          </cell>
          <cell r="AN55">
            <v>30429803651.2192</v>
          </cell>
          <cell r="AO55">
            <v>25017368700</v>
          </cell>
          <cell r="AP55">
            <v>25365908100</v>
          </cell>
          <cell r="AQ55">
            <v>25736331200</v>
          </cell>
          <cell r="AR55">
            <v>28364615200</v>
          </cell>
          <cell r="AS55">
            <v>30565400000</v>
          </cell>
          <cell r="AT55">
            <v>31682400000</v>
          </cell>
          <cell r="AU55">
            <v>33590500000</v>
          </cell>
          <cell r="AV55">
            <v>35901200000</v>
          </cell>
          <cell r="AW55">
            <v>38203000000</v>
          </cell>
          <cell r="AX55">
            <v>42643836100</v>
          </cell>
          <cell r="AY55">
            <v>48835925925.925926</v>
          </cell>
          <cell r="AZ55">
            <v>54262870370.370369</v>
          </cell>
          <cell r="BA55">
            <v>56302129629.629623</v>
          </cell>
          <cell r="BB55">
            <v>57481481481.481476</v>
          </cell>
          <cell r="BC55">
            <v>59562962962.962959</v>
          </cell>
          <cell r="BD55">
            <v>68990000000</v>
          </cell>
          <cell r="BE55">
            <v>73141000000</v>
          </cell>
          <cell r="BF55">
            <v>77148000000</v>
          </cell>
          <cell r="BG55">
            <v>80656000000</v>
          </cell>
          <cell r="BH55">
            <v>87133000000</v>
          </cell>
          <cell r="BI55">
            <v>91370000000</v>
          </cell>
          <cell r="BJ55">
            <v>96851000000</v>
          </cell>
          <cell r="BK55">
            <v>100050000000</v>
          </cell>
          <cell r="BL55">
            <v>103428000000</v>
          </cell>
          <cell r="BM55">
            <v>107352000000</v>
          </cell>
        </row>
        <row r="56">
          <cell r="B56" t="str">
            <v>CUW</v>
          </cell>
          <cell r="C56" t="str">
            <v>GDP (current US$)</v>
          </cell>
          <cell r="D56" t="str">
            <v>NY.GDP.MKTP.CD</v>
          </cell>
          <cell r="BD56">
            <v>2933128491.6201115</v>
          </cell>
          <cell r="BE56">
            <v>3024525139.6648045</v>
          </cell>
          <cell r="BF56">
            <v>3039944134.0782123</v>
          </cell>
          <cell r="BG56">
            <v>3048435754.1899443</v>
          </cell>
          <cell r="BH56">
            <v>3042737430.1675978</v>
          </cell>
          <cell r="BI56">
            <v>3014748603.3519554</v>
          </cell>
          <cell r="BJ56">
            <v>3009497206.7039104</v>
          </cell>
          <cell r="BK56">
            <v>3020388826.8156424</v>
          </cell>
          <cell r="BL56">
            <v>2995185474.8603354</v>
          </cell>
          <cell r="BM56">
            <v>2496174748.6033521</v>
          </cell>
        </row>
        <row r="57">
          <cell r="B57" t="str">
            <v>CYM</v>
          </cell>
          <cell r="C57" t="str">
            <v>GDP (current US$)</v>
          </cell>
          <cell r="D57" t="str">
            <v>NY.GDP.MKTP.CD</v>
          </cell>
          <cell r="AY57">
            <v>4200288282.1015687</v>
          </cell>
          <cell r="AZ57">
            <v>4466278030.5916739</v>
          </cell>
          <cell r="BA57">
            <v>4585948969.3322334</v>
          </cell>
          <cell r="BB57">
            <v>4281714618.0323763</v>
          </cell>
          <cell r="BC57">
            <v>4156841163.777627</v>
          </cell>
          <cell r="BD57">
            <v>4186073160.1825328</v>
          </cell>
          <cell r="BE57">
            <v>4291004485.5680346</v>
          </cell>
          <cell r="BF57">
            <v>4405796081.1598406</v>
          </cell>
          <cell r="BG57">
            <v>4562853582.324625</v>
          </cell>
          <cell r="BH57">
            <v>4708167255.2872686</v>
          </cell>
          <cell r="BI57">
            <v>4909322200.0021238</v>
          </cell>
          <cell r="BJ57">
            <v>5166281293.1871529</v>
          </cell>
          <cell r="BK57">
            <v>5530178498.9078274</v>
          </cell>
          <cell r="BL57">
            <v>5941896599.5733261</v>
          </cell>
          <cell r="BM57">
            <v>5647224973.038785</v>
          </cell>
        </row>
        <row r="58">
          <cell r="B58" t="str">
            <v>CYP</v>
          </cell>
          <cell r="C58" t="str">
            <v>GDP (current US$)</v>
          </cell>
          <cell r="D58" t="str">
            <v>NY.GDP.MKTP.CD</v>
          </cell>
          <cell r="T58">
            <v>489914760.68280709</v>
          </cell>
          <cell r="U58">
            <v>576090073.71503592</v>
          </cell>
          <cell r="V58">
            <v>734887973.97580564</v>
          </cell>
          <cell r="W58">
            <v>964026512.1978389</v>
          </cell>
          <cell r="X58">
            <v>1288715209.5808384</v>
          </cell>
          <cell r="Y58">
            <v>2154311276.9485903</v>
          </cell>
          <cell r="Z58">
            <v>2087496373.7796376</v>
          </cell>
          <cell r="AA58">
            <v>2159242416.7694201</v>
          </cell>
          <cell r="AB58">
            <v>2160364071.1902113</v>
          </cell>
          <cell r="AC58">
            <v>2278248953.1405787</v>
          </cell>
          <cell r="AD58">
            <v>2430411900.1919384</v>
          </cell>
          <cell r="AE58">
            <v>3090734463.2768359</v>
          </cell>
          <cell r="AF58">
            <v>3704813885.5054812</v>
          </cell>
          <cell r="AG58">
            <v>4278792597.2396483</v>
          </cell>
          <cell r="AH58">
            <v>4563482603.5502958</v>
          </cell>
          <cell r="AI58">
            <v>5591130217.6696539</v>
          </cell>
          <cell r="AJ58">
            <v>5770197348.484848</v>
          </cell>
          <cell r="AK58">
            <v>6912150456.3233376</v>
          </cell>
          <cell r="AL58">
            <v>6590291048.2921085</v>
          </cell>
          <cell r="AM58">
            <v>7425703928.5714293</v>
          </cell>
          <cell r="AN58">
            <v>9933133247.089262</v>
          </cell>
          <cell r="AO58">
            <v>10011918444.165621</v>
          </cell>
          <cell r="AP58">
            <v>9547818700.1140251</v>
          </cell>
          <cell r="AQ58">
            <v>10248617647.058823</v>
          </cell>
          <cell r="AR58">
            <v>10497908306.364616</v>
          </cell>
          <cell r="AS58">
            <v>9985844486.3336487</v>
          </cell>
          <cell r="AT58">
            <v>10397897085.610199</v>
          </cell>
          <cell r="AU58">
            <v>11420227884.615385</v>
          </cell>
          <cell r="AV58">
            <v>14547325028.312571</v>
          </cell>
          <cell r="AW58">
            <v>17320552500</v>
          </cell>
          <cell r="AX58">
            <v>18433411267.255314</v>
          </cell>
          <cell r="AY58">
            <v>20072786350.520638</v>
          </cell>
          <cell r="AZ58">
            <v>23968764029.564739</v>
          </cell>
          <cell r="BA58">
            <v>27844698989.307163</v>
          </cell>
          <cell r="BB58">
            <v>25945391775.493195</v>
          </cell>
          <cell r="BC58">
            <v>25799940416.01733</v>
          </cell>
          <cell r="BD58">
            <v>27641551809.095577</v>
          </cell>
          <cell r="BE58">
            <v>25047433099.589069</v>
          </cell>
          <cell r="BF58">
            <v>23959708956.292809</v>
          </cell>
          <cell r="BG58">
            <v>23225912183.498764</v>
          </cell>
          <cell r="BH58">
            <v>19909269064.847256</v>
          </cell>
          <cell r="BI58">
            <v>21046452117.376511</v>
          </cell>
          <cell r="BJ58">
            <v>22946583375.550835</v>
          </cell>
          <cell r="BK58">
            <v>25597301190.677956</v>
          </cell>
          <cell r="BL58">
            <v>25945194240.454395</v>
          </cell>
          <cell r="BM58">
            <v>25008266159.24789</v>
          </cell>
        </row>
        <row r="59">
          <cell r="B59" t="str">
            <v>CZE</v>
          </cell>
          <cell r="C59" t="str">
            <v>GDP (current US$)</v>
          </cell>
          <cell r="D59" t="str">
            <v>NY.GDP.MKTP.CD</v>
          </cell>
          <cell r="AI59">
            <v>40728950704.617615</v>
          </cell>
          <cell r="AJ59">
            <v>29859921158.869625</v>
          </cell>
          <cell r="AK59">
            <v>34805013229.571983</v>
          </cell>
          <cell r="AL59">
            <v>40866982340.195679</v>
          </cell>
          <cell r="AM59">
            <v>47850065328.975418</v>
          </cell>
          <cell r="AN59">
            <v>60145663258.898224</v>
          </cell>
          <cell r="AO59">
            <v>67388492013.544502</v>
          </cell>
          <cell r="AP59">
            <v>62180519005.943977</v>
          </cell>
          <cell r="AQ59">
            <v>66807498696.350227</v>
          </cell>
          <cell r="AR59">
            <v>65173036730.62043</v>
          </cell>
          <cell r="AS59">
            <v>61823494487.036331</v>
          </cell>
          <cell r="AT59">
            <v>67808695573.680969</v>
          </cell>
          <cell r="AU59">
            <v>82196206089.758469</v>
          </cell>
          <cell r="AV59">
            <v>100090467581.26839</v>
          </cell>
          <cell r="AW59">
            <v>119814667457.85464</v>
          </cell>
          <cell r="AX59">
            <v>137143375920.46982</v>
          </cell>
          <cell r="AY59">
            <v>156264210926.17682</v>
          </cell>
          <cell r="AZ59">
            <v>190184113270.14966</v>
          </cell>
          <cell r="BA59">
            <v>236816948159.71835</v>
          </cell>
          <cell r="BB59">
            <v>207434296805.32971</v>
          </cell>
          <cell r="BC59">
            <v>209069940963.17725</v>
          </cell>
          <cell r="BD59">
            <v>229562733398.94751</v>
          </cell>
          <cell r="BE59">
            <v>208857719320.64871</v>
          </cell>
          <cell r="BF59">
            <v>211685616592.93109</v>
          </cell>
          <cell r="BG59">
            <v>209358834156.32904</v>
          </cell>
          <cell r="BH59">
            <v>188033050459.8811</v>
          </cell>
          <cell r="BI59">
            <v>196272068576.33829</v>
          </cell>
          <cell r="BJ59">
            <v>218628940951.67508</v>
          </cell>
          <cell r="BK59">
            <v>249000540729.17868</v>
          </cell>
          <cell r="BL59">
            <v>252548179964.89661</v>
          </cell>
          <cell r="BM59">
            <v>245974558654.04294</v>
          </cell>
        </row>
        <row r="60">
          <cell r="B60" t="str">
            <v>DEU</v>
          </cell>
          <cell r="C60" t="str">
            <v>GDP (current US$)</v>
          </cell>
          <cell r="D60" t="str">
            <v>NY.GDP.MKTP.CD</v>
          </cell>
          <cell r="O60">
            <v>215838448137.65833</v>
          </cell>
          <cell r="P60">
            <v>249985055484.3027</v>
          </cell>
          <cell r="Q60">
            <v>299801542047.47589</v>
          </cell>
          <cell r="R60">
            <v>398374021953.89679</v>
          </cell>
          <cell r="S60">
            <v>445303484241.55396</v>
          </cell>
          <cell r="T60">
            <v>490636517211.22504</v>
          </cell>
          <cell r="U60">
            <v>519754453161.41058</v>
          </cell>
          <cell r="V60">
            <v>600498238019.03479</v>
          </cell>
          <cell r="W60">
            <v>740469983446.93286</v>
          </cell>
          <cell r="X60">
            <v>881345176608.68628</v>
          </cell>
          <cell r="Y60">
            <v>950290856466.5376</v>
          </cell>
          <cell r="Z60">
            <v>800472055387.2782</v>
          </cell>
          <cell r="AA60">
            <v>776576439106.95581</v>
          </cell>
          <cell r="AB60">
            <v>770684323247.79773</v>
          </cell>
          <cell r="AC60">
            <v>725111123634.1145</v>
          </cell>
          <cell r="AD60">
            <v>732534887058.19824</v>
          </cell>
          <cell r="AE60">
            <v>1046259374943.7089</v>
          </cell>
          <cell r="AF60">
            <v>1298176105549.5103</v>
          </cell>
          <cell r="AG60">
            <v>1401233225303.4858</v>
          </cell>
          <cell r="AH60">
            <v>1398967436804.3274</v>
          </cell>
          <cell r="AI60">
            <v>1771671206875.6809</v>
          </cell>
          <cell r="AJ60">
            <v>1868945197407.189</v>
          </cell>
          <cell r="AK60">
            <v>2131571696931.7471</v>
          </cell>
          <cell r="AL60">
            <v>2071323790370.2827</v>
          </cell>
          <cell r="AM60">
            <v>2205074123177.0518</v>
          </cell>
          <cell r="AN60">
            <v>2585792275146.7178</v>
          </cell>
          <cell r="AO60">
            <v>2497244606186.6392</v>
          </cell>
          <cell r="AP60">
            <v>2211989623279.9458</v>
          </cell>
          <cell r="AQ60">
            <v>2238990774702.6787</v>
          </cell>
          <cell r="AR60">
            <v>2194945278872.5918</v>
          </cell>
          <cell r="AS60">
            <v>1947981991011.7688</v>
          </cell>
          <cell r="AT60">
            <v>1945790973803.1519</v>
          </cell>
          <cell r="AU60">
            <v>2078484517474.5134</v>
          </cell>
          <cell r="AV60">
            <v>2501640388482.3477</v>
          </cell>
          <cell r="AW60">
            <v>2814353869359.0806</v>
          </cell>
          <cell r="AX60">
            <v>2846864211175.0962</v>
          </cell>
          <cell r="AY60">
            <v>2994703642023.5254</v>
          </cell>
          <cell r="AZ60">
            <v>3425578382921.5796</v>
          </cell>
          <cell r="BA60">
            <v>3745264093617.1865</v>
          </cell>
          <cell r="BB60">
            <v>3411261212652.3413</v>
          </cell>
          <cell r="BC60">
            <v>3399667820000.0874</v>
          </cell>
          <cell r="BD60">
            <v>3749314991050.6172</v>
          </cell>
          <cell r="BE60">
            <v>3527143188785.1572</v>
          </cell>
          <cell r="BF60">
            <v>3733804649549.0601</v>
          </cell>
          <cell r="BG60">
            <v>3889093051023.4536</v>
          </cell>
          <cell r="BH60">
            <v>3357585719351.5605</v>
          </cell>
          <cell r="BI60">
            <v>3469853463945.6299</v>
          </cell>
          <cell r="BJ60">
            <v>3690849152517.6865</v>
          </cell>
          <cell r="BK60">
            <v>3974443355019.5342</v>
          </cell>
          <cell r="BL60">
            <v>3888226035921.4927</v>
          </cell>
          <cell r="BM60">
            <v>3889668895299.5552</v>
          </cell>
        </row>
        <row r="61">
          <cell r="B61" t="str">
            <v>DJI</v>
          </cell>
          <cell r="C61" t="str">
            <v>GDP (current US$)</v>
          </cell>
          <cell r="D61" t="str">
            <v>NY.GDP.MKTP.CD</v>
          </cell>
          <cell r="AD61">
            <v>340989527.96991348</v>
          </cell>
          <cell r="AF61">
            <v>373371738.28641522</v>
          </cell>
          <cell r="AG61">
            <v>395794538.63077521</v>
          </cell>
          <cell r="AH61">
            <v>409220087.10281843</v>
          </cell>
          <cell r="AI61">
            <v>452328087.28287596</v>
          </cell>
          <cell r="AJ61">
            <v>462421998.52577919</v>
          </cell>
          <cell r="AK61">
            <v>478058304.87111819</v>
          </cell>
          <cell r="AL61">
            <v>466048469.22986031</v>
          </cell>
          <cell r="AM61">
            <v>491689220.74487537</v>
          </cell>
          <cell r="AN61">
            <v>497723960.58991337</v>
          </cell>
          <cell r="AO61">
            <v>494004647.73437017</v>
          </cell>
          <cell r="AP61">
            <v>502675542.0012266</v>
          </cell>
          <cell r="AQ61">
            <v>514267869.30075794</v>
          </cell>
          <cell r="AR61">
            <v>536080148.09729856</v>
          </cell>
          <cell r="AS61">
            <v>551230861.85650539</v>
          </cell>
          <cell r="AT61">
            <v>572417440.82016194</v>
          </cell>
          <cell r="AU61">
            <v>591122039.60139763</v>
          </cell>
          <cell r="AV61">
            <v>622044665.51504886</v>
          </cell>
          <cell r="AW61">
            <v>666072101.77750516</v>
          </cell>
          <cell r="AX61">
            <v>708633194.72656584</v>
          </cell>
          <cell r="AY61">
            <v>768873684.03283799</v>
          </cell>
          <cell r="AZ61">
            <v>847918929.10798383</v>
          </cell>
          <cell r="BA61">
            <v>999105339.26772857</v>
          </cell>
          <cell r="BB61">
            <v>1049110684.724934</v>
          </cell>
          <cell r="BC61">
            <v>1128611700.3618031</v>
          </cell>
          <cell r="BD61">
            <v>1239144501.7752545</v>
          </cell>
          <cell r="BE61">
            <v>1353632941.5206981</v>
          </cell>
          <cell r="BF61">
            <v>2042817162.8563871</v>
          </cell>
          <cell r="BG61">
            <v>2214679081.2565761</v>
          </cell>
          <cell r="BH61">
            <v>2424391785.4389744</v>
          </cell>
          <cell r="BI61">
            <v>2604955228.7011662</v>
          </cell>
          <cell r="BJ61">
            <v>2762581334.2261186</v>
          </cell>
          <cell r="BK61">
            <v>2913466732.1250725</v>
          </cell>
          <cell r="BL61">
            <v>3088853638.5683179</v>
          </cell>
          <cell r="BM61">
            <v>3181071153.6622009</v>
          </cell>
        </row>
        <row r="62">
          <cell r="B62" t="str">
            <v>DMA</v>
          </cell>
          <cell r="C62" t="str">
            <v>GDP (current US$)</v>
          </cell>
          <cell r="D62" t="str">
            <v>NY.GDP.MKTP.CD</v>
          </cell>
          <cell r="V62">
            <v>45872947.407407403</v>
          </cell>
          <cell r="W62">
            <v>57130215.555555552</v>
          </cell>
          <cell r="X62">
            <v>55017758.888888888</v>
          </cell>
          <cell r="Y62">
            <v>72804653.333333328</v>
          </cell>
          <cell r="Z62">
            <v>82107391.111111104</v>
          </cell>
          <cell r="AA62">
            <v>89527576.666666657</v>
          </cell>
          <cell r="AB62">
            <v>98665191.481481463</v>
          </cell>
          <cell r="AC62">
            <v>109157070.74074073</v>
          </cell>
          <cell r="AD62">
            <v>119491932.96296296</v>
          </cell>
          <cell r="AE62">
            <v>135161958.51851851</v>
          </cell>
          <cell r="AF62">
            <v>151868754.44444445</v>
          </cell>
          <cell r="AG62">
            <v>171106184.07407406</v>
          </cell>
          <cell r="AH62">
            <v>185137242.96296296</v>
          </cell>
          <cell r="AI62">
            <v>201429629.62962961</v>
          </cell>
          <cell r="AJ62">
            <v>219762962.96296296</v>
          </cell>
          <cell r="AK62">
            <v>234059259.25925925</v>
          </cell>
          <cell r="AL62">
            <v>245525925.92592591</v>
          </cell>
          <cell r="AM62">
            <v>264374074.07407406</v>
          </cell>
          <cell r="AN62">
            <v>274522222.22222221</v>
          </cell>
          <cell r="AO62">
            <v>292285185.18518519</v>
          </cell>
          <cell r="AP62">
            <v>302988888.8888889</v>
          </cell>
          <cell r="AQ62">
            <v>322411111.1111111</v>
          </cell>
          <cell r="AR62">
            <v>331759259.25925922</v>
          </cell>
          <cell r="AS62">
            <v>333470370.37037033</v>
          </cell>
          <cell r="AT62">
            <v>340203703.7037037</v>
          </cell>
          <cell r="AU62">
            <v>333196296.2962963</v>
          </cell>
          <cell r="AV62">
            <v>343311111.1111111</v>
          </cell>
          <cell r="AW62">
            <v>367200000</v>
          </cell>
          <cell r="AX62">
            <v>364255555.55555552</v>
          </cell>
          <cell r="AY62">
            <v>390251851.85185188</v>
          </cell>
          <cell r="AZ62">
            <v>421374074.07407403</v>
          </cell>
          <cell r="BA62">
            <v>458188888.88888884</v>
          </cell>
          <cell r="BB62">
            <v>489074074.07407403</v>
          </cell>
          <cell r="BC62">
            <v>493825925.92592591</v>
          </cell>
          <cell r="BD62">
            <v>501025925.92592591</v>
          </cell>
          <cell r="BE62">
            <v>485996296.29629624</v>
          </cell>
          <cell r="BF62">
            <v>498296296.29629624</v>
          </cell>
          <cell r="BG62">
            <v>520207407.40740734</v>
          </cell>
          <cell r="BH62">
            <v>540737037.03703701</v>
          </cell>
          <cell r="BI62">
            <v>576229629.62962961</v>
          </cell>
          <cell r="BJ62">
            <v>521551851.85185182</v>
          </cell>
          <cell r="BK62">
            <v>554770370.37037039</v>
          </cell>
          <cell r="BL62">
            <v>611537037.03703701</v>
          </cell>
          <cell r="BM62">
            <v>504214814.81481481</v>
          </cell>
        </row>
        <row r="63">
          <cell r="B63" t="str">
            <v>DNK</v>
          </cell>
          <cell r="C63" t="str">
            <v>GDP (current US$)</v>
          </cell>
          <cell r="D63" t="str">
            <v>NY.GDP.MKTP.CD</v>
          </cell>
          <cell r="K63">
            <v>11931739465.179155</v>
          </cell>
          <cell r="L63">
            <v>13059065018.618654</v>
          </cell>
          <cell r="M63">
            <v>13505573854.961836</v>
          </cell>
          <cell r="N63">
            <v>15414902253.307085</v>
          </cell>
          <cell r="O63">
            <v>17075457585.201271</v>
          </cell>
          <cell r="P63">
            <v>19085633672.63279</v>
          </cell>
          <cell r="Q63">
            <v>23232407814.690804</v>
          </cell>
          <cell r="R63">
            <v>30730626668.440472</v>
          </cell>
          <cell r="S63">
            <v>34160444803.714653</v>
          </cell>
          <cell r="T63">
            <v>40474406216.282066</v>
          </cell>
          <cell r="U63">
            <v>44575708130.996269</v>
          </cell>
          <cell r="V63">
            <v>49784407635.902161</v>
          </cell>
          <cell r="W63">
            <v>60362658215.266258</v>
          </cell>
          <cell r="X63">
            <v>70366799281.569489</v>
          </cell>
          <cell r="Y63">
            <v>71127002864.849869</v>
          </cell>
          <cell r="Z63">
            <v>61878103527.153999</v>
          </cell>
          <cell r="AA63">
            <v>60412542585.681396</v>
          </cell>
          <cell r="AB63">
            <v>60644837444.4217</v>
          </cell>
          <cell r="AC63">
            <v>59105284414.64032</v>
          </cell>
          <cell r="AD63">
            <v>62658617565.475906</v>
          </cell>
          <cell r="AE63">
            <v>88078850821.624374</v>
          </cell>
          <cell r="AF63">
            <v>109414157336.77042</v>
          </cell>
          <cell r="AG63">
            <v>115552417468.55281</v>
          </cell>
          <cell r="AH63">
            <v>112409606609.96487</v>
          </cell>
          <cell r="AI63">
            <v>138248216614.8013</v>
          </cell>
          <cell r="AJ63">
            <v>139225595726.80203</v>
          </cell>
          <cell r="AK63">
            <v>152914810032.91299</v>
          </cell>
          <cell r="AL63">
            <v>143194762031.87689</v>
          </cell>
          <cell r="AM63">
            <v>156163573390.25354</v>
          </cell>
          <cell r="AN63">
            <v>185007982281.29767</v>
          </cell>
          <cell r="AO63">
            <v>187633263192.74835</v>
          </cell>
          <cell r="AP63">
            <v>173538719988.5531</v>
          </cell>
          <cell r="AQ63">
            <v>176991230634.23013</v>
          </cell>
          <cell r="AR63">
            <v>177964167947.20364</v>
          </cell>
          <cell r="AS63">
            <v>164157842126.82083</v>
          </cell>
          <cell r="AT63">
            <v>164791096044.09805</v>
          </cell>
          <cell r="AU63">
            <v>178634843165.63278</v>
          </cell>
          <cell r="AV63">
            <v>218096916361.97311</v>
          </cell>
          <cell r="AW63">
            <v>251374821136.17117</v>
          </cell>
          <cell r="AX63">
            <v>264466895451.15735</v>
          </cell>
          <cell r="AY63">
            <v>282885978374.28516</v>
          </cell>
          <cell r="AZ63">
            <v>319423375611.04663</v>
          </cell>
          <cell r="BA63">
            <v>353358901702.04565</v>
          </cell>
          <cell r="BB63">
            <v>321243301145.33698</v>
          </cell>
          <cell r="BC63">
            <v>321995279401.50159</v>
          </cell>
          <cell r="BD63">
            <v>344003137611.27118</v>
          </cell>
          <cell r="BE63">
            <v>327148943812.1366</v>
          </cell>
          <cell r="BF63">
            <v>343584391647.92706</v>
          </cell>
          <cell r="BG63">
            <v>352993631617.70801</v>
          </cell>
          <cell r="BH63">
            <v>302673070846.85724</v>
          </cell>
          <cell r="BI63">
            <v>313115929314.33862</v>
          </cell>
          <cell r="BJ63">
            <v>332121063806.39062</v>
          </cell>
          <cell r="BK63">
            <v>356841216410.06769</v>
          </cell>
          <cell r="BL63">
            <v>346498737961.63519</v>
          </cell>
          <cell r="BM63">
            <v>355222449505.21106</v>
          </cell>
        </row>
        <row r="64">
          <cell r="B64" t="str">
            <v>DOM</v>
          </cell>
          <cell r="C64" t="str">
            <v>GDP (current US$)</v>
          </cell>
          <cell r="D64" t="str">
            <v>NY.GDP.MKTP.CD</v>
          </cell>
          <cell r="E64">
            <v>672399700</v>
          </cell>
          <cell r="F64">
            <v>654100200</v>
          </cell>
          <cell r="G64">
            <v>824100000</v>
          </cell>
          <cell r="H64">
            <v>940799900</v>
          </cell>
          <cell r="I64">
            <v>1025599899.9999999</v>
          </cell>
          <cell r="J64">
            <v>888100000</v>
          </cell>
          <cell r="K64">
            <v>983900000</v>
          </cell>
          <cell r="L64">
            <v>1034800000</v>
          </cell>
          <cell r="M64">
            <v>1079100000</v>
          </cell>
          <cell r="N64">
            <v>1230500000</v>
          </cell>
          <cell r="O64">
            <v>1485500000</v>
          </cell>
          <cell r="P64">
            <v>1666500000.1388745</v>
          </cell>
          <cell r="Q64">
            <v>1987400000</v>
          </cell>
          <cell r="R64">
            <v>2344800000.1953993</v>
          </cell>
          <cell r="S64">
            <v>2925700001.4628501</v>
          </cell>
          <cell r="T64">
            <v>3599200003.5991998</v>
          </cell>
          <cell r="U64">
            <v>3951500003.9514999</v>
          </cell>
          <cell r="V64">
            <v>4587100004.5871</v>
          </cell>
          <cell r="W64">
            <v>4734400004.7343998</v>
          </cell>
          <cell r="X64">
            <v>5498800005.4988003</v>
          </cell>
          <cell r="Y64">
            <v>6761300006.7613001</v>
          </cell>
          <cell r="Z64">
            <v>7561300007.5612993</v>
          </cell>
          <cell r="AA64">
            <v>8267400008.2673998</v>
          </cell>
          <cell r="AB64">
            <v>9220600009.2206001</v>
          </cell>
          <cell r="AC64">
            <v>11594000004.830837</v>
          </cell>
          <cell r="AD64">
            <v>5044579439.0021286</v>
          </cell>
          <cell r="AE64">
            <v>6122127855.1050768</v>
          </cell>
          <cell r="AF64">
            <v>5827050248.065011</v>
          </cell>
          <cell r="AG64">
            <v>5374300274.5732088</v>
          </cell>
          <cell r="AH64">
            <v>6686593059.9369087</v>
          </cell>
          <cell r="AI64">
            <v>7073675544.7902126</v>
          </cell>
          <cell r="AJ64">
            <v>9824483368.0088024</v>
          </cell>
          <cell r="AK64">
            <v>11605382504</v>
          </cell>
          <cell r="AL64">
            <v>13081042400</v>
          </cell>
          <cell r="AM64">
            <v>14644734247.740057</v>
          </cell>
          <cell r="AN64">
            <v>16637370839.160841</v>
          </cell>
          <cell r="AO64">
            <v>18241622255.714066</v>
          </cell>
          <cell r="AP64">
            <v>20017449966.085743</v>
          </cell>
          <cell r="AQ64">
            <v>21672215776.014381</v>
          </cell>
          <cell r="AR64">
            <v>22136579527.499439</v>
          </cell>
          <cell r="AS64">
            <v>24305781111.905708</v>
          </cell>
          <cell r="AT64">
            <v>25601824419.038544</v>
          </cell>
          <cell r="AU64">
            <v>27137441266.335514</v>
          </cell>
          <cell r="AV64">
            <v>21403168127.882973</v>
          </cell>
          <cell r="AW64">
            <v>22322387609.848099</v>
          </cell>
          <cell r="AX64">
            <v>35777560474.810608</v>
          </cell>
          <cell r="AY64">
            <v>37879829854.796463</v>
          </cell>
          <cell r="AZ64">
            <v>43965459071.065399</v>
          </cell>
          <cell r="BA64">
            <v>48122601589.771675</v>
          </cell>
          <cell r="BB64">
            <v>48261079523.821289</v>
          </cell>
          <cell r="BC64">
            <v>53860187452.385307</v>
          </cell>
          <cell r="BD64">
            <v>58029773802.381836</v>
          </cell>
          <cell r="BE64">
            <v>60681535894.481049</v>
          </cell>
          <cell r="BF64">
            <v>62682158700.288513</v>
          </cell>
          <cell r="BG64">
            <v>67179956264.938332</v>
          </cell>
          <cell r="BH64">
            <v>71164826719.50264</v>
          </cell>
          <cell r="BI64">
            <v>75704647977.259064</v>
          </cell>
          <cell r="BJ64">
            <v>79998045975.513702</v>
          </cell>
          <cell r="BK64">
            <v>85555390385.981171</v>
          </cell>
          <cell r="BL64">
            <v>88941371980.265137</v>
          </cell>
          <cell r="BM64">
            <v>78844655833.21936</v>
          </cell>
        </row>
        <row r="65">
          <cell r="B65" t="str">
            <v>DZA</v>
          </cell>
          <cell r="C65" t="str">
            <v>GDP (current US$)</v>
          </cell>
          <cell r="D65" t="str">
            <v>NY.GDP.MKTP.CD</v>
          </cell>
          <cell r="E65">
            <v>2723615449.1290288</v>
          </cell>
          <cell r="F65">
            <v>2434747053.9985852</v>
          </cell>
          <cell r="G65">
            <v>2001444542.3227978</v>
          </cell>
          <cell r="H65">
            <v>2702982015.4825335</v>
          </cell>
          <cell r="I65">
            <v>2909316432.9673624</v>
          </cell>
          <cell r="J65">
            <v>3136284304.3536558</v>
          </cell>
          <cell r="K65">
            <v>3039859185.0275044</v>
          </cell>
          <cell r="L65">
            <v>3370870373.6087222</v>
          </cell>
          <cell r="M65">
            <v>3852147023.7011228</v>
          </cell>
          <cell r="N65">
            <v>4257253260.6933961</v>
          </cell>
          <cell r="O65">
            <v>4863526892.695653</v>
          </cell>
          <cell r="P65">
            <v>5077182745.7478952</v>
          </cell>
          <cell r="Q65">
            <v>6766744027.5519714</v>
          </cell>
          <cell r="R65">
            <v>8707858006.1938744</v>
          </cell>
          <cell r="S65">
            <v>13209871629.064133</v>
          </cell>
          <cell r="T65">
            <v>15557901444.872448</v>
          </cell>
          <cell r="U65">
            <v>17728240936.573521</v>
          </cell>
          <cell r="V65">
            <v>20972112004.189342</v>
          </cell>
          <cell r="W65">
            <v>26364491320.094933</v>
          </cell>
          <cell r="X65">
            <v>33243709744.089931</v>
          </cell>
          <cell r="Y65">
            <v>42345829090.241135</v>
          </cell>
          <cell r="Z65">
            <v>44348587045.921959</v>
          </cell>
          <cell r="AA65">
            <v>45207170761.645844</v>
          </cell>
          <cell r="AB65">
            <v>48801369810.55825</v>
          </cell>
          <cell r="AC65">
            <v>53698548297.564308</v>
          </cell>
          <cell r="AD65">
            <v>57937868670.193726</v>
          </cell>
          <cell r="AE65">
            <v>63692012412.321541</v>
          </cell>
          <cell r="AF65">
            <v>66745822963.078743</v>
          </cell>
          <cell r="AG65">
            <v>59089400190.483673</v>
          </cell>
          <cell r="AH65">
            <v>55634719135.359657</v>
          </cell>
          <cell r="AI65">
            <v>62048505222.341431</v>
          </cell>
          <cell r="AJ65">
            <v>45715676428.276596</v>
          </cell>
          <cell r="AK65">
            <v>48003133346.995735</v>
          </cell>
          <cell r="AL65">
            <v>49945585165.789856</v>
          </cell>
          <cell r="AM65">
            <v>42543177031.172295</v>
          </cell>
          <cell r="AN65">
            <v>41764291963.85321</v>
          </cell>
          <cell r="AO65">
            <v>46941553939.55928</v>
          </cell>
          <cell r="AP65">
            <v>48177612042.15065</v>
          </cell>
          <cell r="AQ65">
            <v>48187781711.030823</v>
          </cell>
          <cell r="AR65">
            <v>48640671734.971115</v>
          </cell>
          <cell r="AS65">
            <v>54790398813.000496</v>
          </cell>
          <cell r="AT65">
            <v>54744698044.233109</v>
          </cell>
          <cell r="AU65">
            <v>56760355865.00824</v>
          </cell>
          <cell r="AV65">
            <v>67863850333.95256</v>
          </cell>
          <cell r="AW65">
            <v>85332581188.610703</v>
          </cell>
          <cell r="AX65">
            <v>103198211973.24242</v>
          </cell>
          <cell r="AY65">
            <v>117027280692.35611</v>
          </cell>
          <cell r="AZ65">
            <v>134977082623.7798</v>
          </cell>
          <cell r="BA65">
            <v>171000699876.74734</v>
          </cell>
          <cell r="BB65">
            <v>137211004291.27434</v>
          </cell>
          <cell r="BC65">
            <v>161207306304.79449</v>
          </cell>
          <cell r="BD65">
            <v>200013097903.1702</v>
          </cell>
          <cell r="BE65">
            <v>209059081828.26114</v>
          </cell>
          <cell r="BF65">
            <v>209755003250.664</v>
          </cell>
          <cell r="BG65">
            <v>213809980720.78723</v>
          </cell>
          <cell r="BH65">
            <v>165979224316.66702</v>
          </cell>
          <cell r="BI65">
            <v>160034212613.4375</v>
          </cell>
          <cell r="BJ65">
            <v>170096989042.83139</v>
          </cell>
          <cell r="BK65">
            <v>174910891124.49118</v>
          </cell>
          <cell r="BL65">
            <v>171760290068.15723</v>
          </cell>
          <cell r="BM65">
            <v>145743722826.25845</v>
          </cell>
        </row>
        <row r="66">
          <cell r="B66" t="str">
            <v>EAP</v>
          </cell>
          <cell r="C66" t="str">
            <v>GDP (current US$)</v>
          </cell>
          <cell r="D66" t="str">
            <v>NY.GDP.MKTP.CD</v>
          </cell>
          <cell r="E66">
            <v>81326348985.756805</v>
          </cell>
          <cell r="F66">
            <v>71596255522.195084</v>
          </cell>
          <cell r="G66">
            <v>65380076109.971268</v>
          </cell>
          <cell r="H66">
            <v>70825945772.773987</v>
          </cell>
          <cell r="I66">
            <v>81742063326.972</v>
          </cell>
          <cell r="J66">
            <v>95156520863.463409</v>
          </cell>
          <cell r="K66">
            <v>104051083523.86418</v>
          </cell>
          <cell r="L66">
            <v>100981200429.95294</v>
          </cell>
          <cell r="M66">
            <v>102253082476.34691</v>
          </cell>
          <cell r="N66">
            <v>114766750932.51601</v>
          </cell>
          <cell r="O66">
            <v>127454919352.34146</v>
          </cell>
          <cell r="P66">
            <v>137030062986.25539</v>
          </cell>
          <cell r="Q66">
            <v>155408666772.33868</v>
          </cell>
          <cell r="R66">
            <v>195534127614.96082</v>
          </cell>
          <cell r="S66">
            <v>221206099178.33411</v>
          </cell>
          <cell r="T66">
            <v>248600838593.22168</v>
          </cell>
          <cell r="U66">
            <v>252627347577.80331</v>
          </cell>
          <cell r="V66">
            <v>291576300239.86938</v>
          </cell>
          <cell r="W66">
            <v>282751871491.9151</v>
          </cell>
          <cell r="X66">
            <v>327551775854.46112</v>
          </cell>
          <cell r="Y66">
            <v>378033865488.36517</v>
          </cell>
          <cell r="Z66">
            <v>403550370494.57538</v>
          </cell>
          <cell r="AA66">
            <v>423685722452.22131</v>
          </cell>
          <cell r="AB66">
            <v>443837445351.94727</v>
          </cell>
          <cell r="AC66">
            <v>480900837963.17432</v>
          </cell>
          <cell r="AD66">
            <v>526325244782.65179</v>
          </cell>
          <cell r="AE66">
            <v>525026601298.33258</v>
          </cell>
          <cell r="AF66">
            <v>518938502263.91797</v>
          </cell>
          <cell r="AG66">
            <v>575483688565.97485</v>
          </cell>
          <cell r="AH66">
            <v>622373424237.77014</v>
          </cell>
          <cell r="AI66">
            <v>667200070409.86951</v>
          </cell>
          <cell r="AJ66">
            <v>723660415505.29333</v>
          </cell>
          <cell r="AK66">
            <v>811064516905.32971</v>
          </cell>
          <cell r="AL66">
            <v>890298100067.91687</v>
          </cell>
          <cell r="AM66">
            <v>1071324397430.2501</v>
          </cell>
          <cell r="AN66">
            <v>1321735880770.3591</v>
          </cell>
          <cell r="AO66">
            <v>1518091688363.7432</v>
          </cell>
          <cell r="AP66">
            <v>1571653095184.7222</v>
          </cell>
          <cell r="AQ66">
            <v>1431442362415.687</v>
          </cell>
          <cell r="AR66">
            <v>1575310857166.5935</v>
          </cell>
          <cell r="AS66">
            <v>1734224222956.6614</v>
          </cell>
          <cell r="AT66">
            <v>1847017054394.2183</v>
          </cell>
          <cell r="AU66">
            <v>2043852782637.2732</v>
          </cell>
          <cell r="AV66">
            <v>2311295448247.1157</v>
          </cell>
          <cell r="AW66">
            <v>2681922543395.7021</v>
          </cell>
          <cell r="AX66">
            <v>3106483464947.144</v>
          </cell>
          <cell r="AY66">
            <v>3740321729010.9258</v>
          </cell>
          <cell r="AZ66">
            <v>4727369211702.7168</v>
          </cell>
          <cell r="BA66">
            <v>5978428072955.4678</v>
          </cell>
          <cell r="BB66">
            <v>6483977394715.2549</v>
          </cell>
          <cell r="BC66">
            <v>7888957749541.3643</v>
          </cell>
          <cell r="BD66">
            <v>9645008222753.3711</v>
          </cell>
          <cell r="BE66">
            <v>10758481557851.758</v>
          </cell>
          <cell r="BF66">
            <v>11870565646660.67</v>
          </cell>
          <cell r="BG66">
            <v>12798136833357.73</v>
          </cell>
          <cell r="BH66">
            <v>13326936591373.316</v>
          </cell>
          <cell r="BI66">
            <v>13611836958159.328</v>
          </cell>
          <cell r="BJ66">
            <v>14876744560573.486</v>
          </cell>
          <cell r="BK66">
            <v>16639892731999.33</v>
          </cell>
          <cell r="BL66">
            <v>17207134431205.912</v>
          </cell>
          <cell r="BM66">
            <v>17487420266794.318</v>
          </cell>
        </row>
        <row r="67">
          <cell r="B67" t="str">
            <v>EAR</v>
          </cell>
          <cell r="C67" t="str">
            <v>GDP (current US$)</v>
          </cell>
          <cell r="D67" t="str">
            <v>NY.GDP.MKTP.CD</v>
          </cell>
          <cell r="E67">
            <v>150325406857.62308</v>
          </cell>
          <cell r="F67">
            <v>159940391122.29395</v>
          </cell>
          <cell r="G67">
            <v>164426987482.14963</v>
          </cell>
          <cell r="H67">
            <v>174329767924.91714</v>
          </cell>
          <cell r="I67">
            <v>199945297628.8652</v>
          </cell>
          <cell r="J67">
            <v>216446892673.54279</v>
          </cell>
          <cell r="K67">
            <v>213717585174.21866</v>
          </cell>
          <cell r="L67">
            <v>224481783366.10498</v>
          </cell>
          <cell r="M67">
            <v>242649043703.58185</v>
          </cell>
          <cell r="N67">
            <v>270732689849.84506</v>
          </cell>
          <cell r="O67">
            <v>286772120540.8208</v>
          </cell>
          <cell r="P67">
            <v>310202914047.8822</v>
          </cell>
          <cell r="Q67">
            <v>339147957048.17419</v>
          </cell>
          <cell r="R67">
            <v>433956554432.36938</v>
          </cell>
          <cell r="S67">
            <v>606060392680.64478</v>
          </cell>
          <cell r="T67">
            <v>651462397679.96313</v>
          </cell>
          <cell r="U67">
            <v>711513664102.46863</v>
          </cell>
          <cell r="V67">
            <v>794834487670.36035</v>
          </cell>
          <cell r="W67">
            <v>914896533738.62622</v>
          </cell>
          <cell r="X67">
            <v>1072741942109.1736</v>
          </cell>
          <cell r="Y67">
            <v>1334955732224.6506</v>
          </cell>
          <cell r="Z67">
            <v>1491022453297.7202</v>
          </cell>
          <cell r="AA67">
            <v>1418937141151.7844</v>
          </cell>
          <cell r="AB67">
            <v>1429300176950.8044</v>
          </cell>
          <cell r="AC67">
            <v>1457264926621.248</v>
          </cell>
          <cell r="AD67">
            <v>1455540349922.6284</v>
          </cell>
          <cell r="AE67">
            <v>1471507593965.8906</v>
          </cell>
          <cell r="AF67">
            <v>1495076737734.3591</v>
          </cell>
          <cell r="AG67">
            <v>1555302003152.9082</v>
          </cell>
          <cell r="AH67">
            <v>1584652248354.8494</v>
          </cell>
          <cell r="AI67">
            <v>1860056796275.8533</v>
          </cell>
          <cell r="AJ67">
            <v>1968877107462.7764</v>
          </cell>
          <cell r="AK67">
            <v>2163166983544.9744</v>
          </cell>
          <cell r="AL67">
            <v>2376229055511.0898</v>
          </cell>
          <cell r="AM67">
            <v>2497962203210.6162</v>
          </cell>
          <cell r="AN67">
            <v>2560945788026.8115</v>
          </cell>
          <cell r="AO67">
            <v>2792350894378.1694</v>
          </cell>
          <cell r="AP67">
            <v>2984903627916.1987</v>
          </cell>
          <cell r="AQ67">
            <v>2942800566756.127</v>
          </cell>
          <cell r="AR67">
            <v>3112677522884.3618</v>
          </cell>
          <cell r="AS67">
            <v>3386374511009.5596</v>
          </cell>
          <cell r="AT67">
            <v>3357006119628.5859</v>
          </cell>
          <cell r="AU67">
            <v>3264336980104.4424</v>
          </cell>
          <cell r="AV67">
            <v>3633102752693.6108</v>
          </cell>
          <cell r="AW67">
            <v>4229767093661.8853</v>
          </cell>
          <cell r="AX67">
            <v>4931859588770.0254</v>
          </cell>
          <cell r="AY67">
            <v>5639663592981.582</v>
          </cell>
          <cell r="AZ67">
            <v>6671943375191.4102</v>
          </cell>
          <cell r="BA67">
            <v>7524219026102.2266</v>
          </cell>
          <cell r="BB67">
            <v>7262366408335.9951</v>
          </cell>
          <cell r="BC67">
            <v>8804986202942.5527</v>
          </cell>
          <cell r="BD67">
            <v>9724222961681.7598</v>
          </cell>
          <cell r="BE67">
            <v>10162396987594.344</v>
          </cell>
          <cell r="BF67">
            <v>10305214092089.588</v>
          </cell>
          <cell r="BG67">
            <v>10661877094591.43</v>
          </cell>
          <cell r="BH67">
            <v>10147533368060.574</v>
          </cell>
          <cell r="BI67">
            <v>10480129806000.361</v>
          </cell>
          <cell r="BJ67">
            <v>11335422969863.646</v>
          </cell>
          <cell r="BK67">
            <v>11465084494129.482</v>
          </cell>
          <cell r="BL67">
            <v>11696252034573.332</v>
          </cell>
          <cell r="BM67">
            <v>10909268111328.207</v>
          </cell>
        </row>
        <row r="68">
          <cell r="B68" t="str">
            <v>EAS</v>
          </cell>
          <cell r="C68" t="str">
            <v>GDP (current US$)</v>
          </cell>
          <cell r="D68" t="str">
            <v>NY.GDP.MKTP.CD</v>
          </cell>
          <cell r="E68">
            <v>154635572036.73965</v>
          </cell>
          <cell r="F68">
            <v>155171539971.90396</v>
          </cell>
          <cell r="G68">
            <v>158388453382.13159</v>
          </cell>
          <cell r="H68">
            <v>176730177978.79724</v>
          </cell>
          <cell r="I68">
            <v>202714831720.69843</v>
          </cell>
          <cell r="J68">
            <v>225621661980.28137</v>
          </cell>
          <cell r="K68">
            <v>252106640604.13025</v>
          </cell>
          <cell r="L68">
            <v>273182977872.0228</v>
          </cell>
          <cell r="M68">
            <v>301204253595.28076</v>
          </cell>
          <cell r="N68">
            <v>346861784582.22302</v>
          </cell>
          <cell r="O68">
            <v>408898138223.84766</v>
          </cell>
          <cell r="P68">
            <v>453726954329.13403</v>
          </cell>
          <cell r="Q68">
            <v>563010907247.16357</v>
          </cell>
          <cell r="R68">
            <v>741889900791.10107</v>
          </cell>
          <cell r="S68">
            <v>854713010143.84863</v>
          </cell>
          <cell r="T68">
            <v>935819191485.14917</v>
          </cell>
          <cell r="U68">
            <v>1028846516914.6897</v>
          </cell>
          <cell r="V68">
            <v>1225988932220.2588</v>
          </cell>
          <cell r="W68">
            <v>1546792686267.2319</v>
          </cell>
          <cell r="X68">
            <v>1679992908986.7825</v>
          </cell>
          <cell r="Y68">
            <v>1815967653285.0059</v>
          </cell>
          <cell r="Z68">
            <v>2001890806303.9436</v>
          </cell>
          <cell r="AA68">
            <v>1962329472988.3694</v>
          </cell>
          <cell r="AB68">
            <v>2087904294838.2373</v>
          </cell>
          <cell r="AC68">
            <v>2235982147816.9346</v>
          </cell>
          <cell r="AD68">
            <v>2359536624595.2798</v>
          </cell>
          <cell r="AE68">
            <v>3082609431901.8594</v>
          </cell>
          <cell r="AF68">
            <v>3619762729461.2207</v>
          </cell>
          <cell r="AG68">
            <v>4354920545659.5151</v>
          </cell>
          <cell r="AH68">
            <v>4536212294968.7959</v>
          </cell>
          <cell r="AI68">
            <v>4738184774160.9629</v>
          </cell>
          <cell r="AJ68">
            <v>5349238155317.4873</v>
          </cell>
          <cell r="AK68">
            <v>5844850958070.334</v>
          </cell>
          <cell r="AL68">
            <v>6536237529932.0693</v>
          </cell>
          <cell r="AM68">
            <v>7403854162598.8486</v>
          </cell>
          <cell r="AN68">
            <v>8407270073236.7266</v>
          </cell>
          <cell r="AO68">
            <v>8101132439890.5791</v>
          </cell>
          <cell r="AP68">
            <v>7744674417552.8281</v>
          </cell>
          <cell r="AQ68">
            <v>6929788830686.5205</v>
          </cell>
          <cell r="AR68">
            <v>7740389071255.5039</v>
          </cell>
          <cell r="AS68">
            <v>8374967389221.6846</v>
          </cell>
          <cell r="AT68">
            <v>7788979324780.5996</v>
          </cell>
          <cell r="AU68">
            <v>7911872939399.3066</v>
          </cell>
          <cell r="AV68">
            <v>8699256032059.1328</v>
          </cell>
          <cell r="AW68">
            <v>9756921956173.9648</v>
          </cell>
          <cell r="AX68">
            <v>10409529158921.514</v>
          </cell>
          <cell r="AY68">
            <v>11031655622225.062</v>
          </cell>
          <cell r="AZ68">
            <v>12325978560532.809</v>
          </cell>
          <cell r="BA68">
            <v>14210859901527.189</v>
          </cell>
          <cell r="BB68">
            <v>14623038565206.744</v>
          </cell>
          <cell r="BC68">
            <v>17066365173220.016</v>
          </cell>
          <cell r="BD68">
            <v>19790735702384.012</v>
          </cell>
          <cell r="BE68">
            <v>21172217151488.219</v>
          </cell>
          <cell r="BF68">
            <v>21410751038294.273</v>
          </cell>
          <cell r="BG68">
            <v>22086203629928.344</v>
          </cell>
          <cell r="BH68">
            <v>21997190975438.602</v>
          </cell>
          <cell r="BI68">
            <v>22772302203840.77</v>
          </cell>
          <cell r="BJ68">
            <v>24324925891393.047</v>
          </cell>
          <cell r="BK68">
            <v>26485229927652.422</v>
          </cell>
          <cell r="BL68">
            <v>27023995393948.984</v>
          </cell>
          <cell r="BM68">
            <v>27144860679483.91</v>
          </cell>
        </row>
        <row r="69">
          <cell r="B69" t="str">
            <v>ECA</v>
          </cell>
          <cell r="C69" t="str">
            <v>GDP (current US$)</v>
          </cell>
          <cell r="D69" t="str">
            <v>NY.GDP.MKTP.CD</v>
          </cell>
          <cell r="AG69">
            <v>862085298434.64563</v>
          </cell>
          <cell r="AH69">
            <v>834089891182.09558</v>
          </cell>
          <cell r="AI69">
            <v>893030485494.27563</v>
          </cell>
          <cell r="AJ69">
            <v>868754964105.50879</v>
          </cell>
          <cell r="AK69">
            <v>799090648379.3728</v>
          </cell>
          <cell r="AL69">
            <v>785130736517.81824</v>
          </cell>
          <cell r="AM69">
            <v>674026502861.23364</v>
          </cell>
          <cell r="AN69">
            <v>721539047178.5481</v>
          </cell>
          <cell r="AO69">
            <v>729341868564.71045</v>
          </cell>
          <cell r="AP69">
            <v>761415145986.35645</v>
          </cell>
          <cell r="AQ69">
            <v>705490554240.29675</v>
          </cell>
          <cell r="AR69">
            <v>591797958891.08923</v>
          </cell>
          <cell r="AS69">
            <v>662865829213.56372</v>
          </cell>
          <cell r="AT69">
            <v>655068103160.56702</v>
          </cell>
          <cell r="AU69">
            <v>750707698399.93237</v>
          </cell>
          <cell r="AV69">
            <v>947224168366.43506</v>
          </cell>
          <cell r="AW69">
            <v>1256021604553.7529</v>
          </cell>
          <cell r="AX69">
            <v>1589623215078.9211</v>
          </cell>
          <cell r="AY69">
            <v>1950105723610.6965</v>
          </cell>
          <cell r="AZ69">
            <v>2509469361144.8921</v>
          </cell>
          <cell r="BA69">
            <v>3110393199188.0757</v>
          </cell>
          <cell r="BB69">
            <v>2437810986692.6411</v>
          </cell>
          <cell r="BC69">
            <v>2953116796718.1943</v>
          </cell>
          <cell r="BD69">
            <v>3670089875344.1113</v>
          </cell>
          <cell r="BE69">
            <v>3914684841121.4463</v>
          </cell>
          <cell r="BF69">
            <v>4150272500477.5654</v>
          </cell>
          <cell r="BG69">
            <v>3845774153167.2056</v>
          </cell>
          <cell r="BH69">
            <v>2921688285552.2598</v>
          </cell>
          <cell r="BI69">
            <v>2777867803805.5928</v>
          </cell>
          <cell r="BJ69">
            <v>3118424956384.8242</v>
          </cell>
          <cell r="BK69">
            <v>3182909933137.877</v>
          </cell>
          <cell r="BL69">
            <v>3248044237780.6865</v>
          </cell>
          <cell r="BM69">
            <v>2990896567052.3081</v>
          </cell>
        </row>
        <row r="70">
          <cell r="B70" t="str">
            <v>ECS</v>
          </cell>
          <cell r="C70" t="str">
            <v>GDP (current US$)</v>
          </cell>
          <cell r="D70" t="str">
            <v>NY.GDP.MKTP.CD</v>
          </cell>
          <cell r="K70">
            <v>739191741175.2666</v>
          </cell>
          <cell r="L70">
            <v>796059940230.19287</v>
          </cell>
          <cell r="M70">
            <v>832721275093.0791</v>
          </cell>
          <cell r="N70">
            <v>921043624554.66284</v>
          </cell>
          <cell r="O70">
            <v>1019416869668.7389</v>
          </cell>
          <cell r="P70">
            <v>1149365465569.7593</v>
          </cell>
          <cell r="Q70">
            <v>1377130817922.606</v>
          </cell>
          <cell r="R70">
            <v>1749169483519.0151</v>
          </cell>
          <cell r="S70">
            <v>1976490376080.6306</v>
          </cell>
          <cell r="T70">
            <v>2308913172421.8354</v>
          </cell>
          <cell r="U70">
            <v>2400124921855.1675</v>
          </cell>
          <cell r="V70">
            <v>2720075903675.6284</v>
          </cell>
          <cell r="W70">
            <v>3319817103756.0942</v>
          </cell>
          <cell r="X70">
            <v>4061208581428.3428</v>
          </cell>
          <cell r="Y70">
            <v>4599944656870.6875</v>
          </cell>
          <cell r="Z70">
            <v>4093971565028.1855</v>
          </cell>
          <cell r="AA70">
            <v>3945237401488.6602</v>
          </cell>
          <cell r="AB70">
            <v>3827325614602.1543</v>
          </cell>
          <cell r="AC70">
            <v>3678603570653.7549</v>
          </cell>
          <cell r="AD70">
            <v>3806796130068.0337</v>
          </cell>
          <cell r="AE70">
            <v>5196005238392.3389</v>
          </cell>
          <cell r="AF70">
            <v>6420601838951.3291</v>
          </cell>
          <cell r="AG70">
            <v>7147035857245.4746</v>
          </cell>
          <cell r="AH70">
            <v>7242068229580.1406</v>
          </cell>
          <cell r="AI70">
            <v>8860001405151.1738</v>
          </cell>
          <cell r="AJ70">
            <v>9139950356709.0273</v>
          </cell>
          <cell r="AK70">
            <v>9801538419939.5898</v>
          </cell>
          <cell r="AL70">
            <v>9003041853259.3359</v>
          </cell>
          <cell r="AM70">
            <v>9412894014587.8848</v>
          </cell>
          <cell r="AN70">
            <v>10871362174018.73</v>
          </cell>
          <cell r="AO70">
            <v>11096209984371.221</v>
          </cell>
          <cell r="AP70">
            <v>10522983199953.434</v>
          </cell>
          <cell r="AQ70">
            <v>10795976125256.885</v>
          </cell>
          <cell r="AR70">
            <v>10678007624358.826</v>
          </cell>
          <cell r="AS70">
            <v>10066421859249.164</v>
          </cell>
          <cell r="AT70">
            <v>10167228168694.459</v>
          </cell>
          <cell r="AU70">
            <v>11134372565307.166</v>
          </cell>
          <cell r="AV70">
            <v>13536888371227.602</v>
          </cell>
          <cell r="AW70">
            <v>15777100065927.418</v>
          </cell>
          <cell r="AX70">
            <v>16782544224445.119</v>
          </cell>
          <cell r="AY70">
            <v>18169184200684.141</v>
          </cell>
          <cell r="AZ70">
            <v>21230055608752.926</v>
          </cell>
          <cell r="BA70">
            <v>23365417649314.676</v>
          </cell>
          <cell r="BB70">
            <v>20549545129765.715</v>
          </cell>
          <cell r="BC70">
            <v>21022097952360.336</v>
          </cell>
          <cell r="BD70">
            <v>23307862167328.777</v>
          </cell>
          <cell r="BE70">
            <v>22452882595862.332</v>
          </cell>
          <cell r="BF70">
            <v>23456119535713.422</v>
          </cell>
          <cell r="BG70">
            <v>23783762693462.785</v>
          </cell>
          <cell r="BH70">
            <v>20487299241754.539</v>
          </cell>
          <cell r="BI70">
            <v>20419509740630.129</v>
          </cell>
          <cell r="BJ70">
            <v>21655200512836.184</v>
          </cell>
          <cell r="BK70">
            <v>23193777815580.383</v>
          </cell>
          <cell r="BL70">
            <v>22910270792580.59</v>
          </cell>
          <cell r="BM70">
            <v>22150021659550.121</v>
          </cell>
        </row>
        <row r="71">
          <cell r="B71" t="str">
            <v>ECU</v>
          </cell>
          <cell r="C71" t="str">
            <v>GDP (current US$)</v>
          </cell>
          <cell r="D71" t="str">
            <v>NY.GDP.MKTP.CD</v>
          </cell>
          <cell r="E71">
            <v>2069465326.4233539</v>
          </cell>
          <cell r="F71">
            <v>1753850416.755507</v>
          </cell>
          <cell r="G71">
            <v>1518208221.2396941</v>
          </cell>
          <cell r="H71">
            <v>1824344492.083442</v>
          </cell>
          <cell r="I71">
            <v>2244146867.9061499</v>
          </cell>
          <cell r="J71">
            <v>2387048255.4517336</v>
          </cell>
          <cell r="K71">
            <v>2429309513.8085394</v>
          </cell>
          <cell r="L71">
            <v>2553596091.822576</v>
          </cell>
          <cell r="M71">
            <v>2582180794.1855011</v>
          </cell>
          <cell r="N71">
            <v>3112166848.3004012</v>
          </cell>
          <cell r="O71">
            <v>2862504169.9989309</v>
          </cell>
          <cell r="P71">
            <v>2754220263.0252838</v>
          </cell>
          <cell r="Q71">
            <v>3185987234.8408933</v>
          </cell>
          <cell r="R71">
            <v>3891755551.9413786</v>
          </cell>
          <cell r="S71">
            <v>6599259420.9960489</v>
          </cell>
          <cell r="T71">
            <v>7731677256.8098249</v>
          </cell>
          <cell r="U71">
            <v>9091924304.8347664</v>
          </cell>
          <cell r="V71">
            <v>11026346589.501144</v>
          </cell>
          <cell r="W71">
            <v>11922502170.640518</v>
          </cell>
          <cell r="X71">
            <v>14175166007.577393</v>
          </cell>
          <cell r="Y71">
            <v>17881514682.878384</v>
          </cell>
          <cell r="Z71">
            <v>21810767209.369484</v>
          </cell>
          <cell r="AA71">
            <v>19929853574.609524</v>
          </cell>
          <cell r="AB71">
            <v>17152483214.353632</v>
          </cell>
          <cell r="AC71">
            <v>16912515183.278257</v>
          </cell>
          <cell r="AD71">
            <v>17149094589.982655</v>
          </cell>
          <cell r="AE71">
            <v>15314143988.062119</v>
          </cell>
          <cell r="AF71">
            <v>13945431882.227064</v>
          </cell>
          <cell r="AG71">
            <v>13051886552.337729</v>
          </cell>
          <cell r="AH71">
            <v>13890828707.6493</v>
          </cell>
          <cell r="AI71">
            <v>15239278100.350185</v>
          </cell>
          <cell r="AJ71">
            <v>16988535267.633818</v>
          </cell>
          <cell r="AK71">
            <v>18094238119.059528</v>
          </cell>
          <cell r="AL71">
            <v>18938717358.67934</v>
          </cell>
          <cell r="AM71">
            <v>22708673336.668331</v>
          </cell>
          <cell r="AN71">
            <v>24432884442.221107</v>
          </cell>
          <cell r="AO71">
            <v>25226393196.598297</v>
          </cell>
          <cell r="AP71">
            <v>28162053026.513256</v>
          </cell>
          <cell r="AQ71">
            <v>27981896948.474236</v>
          </cell>
          <cell r="AR71">
            <v>19645272636.318157</v>
          </cell>
          <cell r="AS71">
            <v>18327764882.441219</v>
          </cell>
          <cell r="AT71">
            <v>24468324000</v>
          </cell>
          <cell r="AU71">
            <v>28548945000</v>
          </cell>
          <cell r="AV71">
            <v>32432858000</v>
          </cell>
          <cell r="AW71">
            <v>36591661000</v>
          </cell>
          <cell r="AX71">
            <v>41507085000</v>
          </cell>
          <cell r="AY71">
            <v>46802044000</v>
          </cell>
          <cell r="AZ71">
            <v>51007777000</v>
          </cell>
          <cell r="BA71">
            <v>61762635000</v>
          </cell>
          <cell r="BB71">
            <v>62519686000</v>
          </cell>
          <cell r="BC71">
            <v>69555367000</v>
          </cell>
          <cell r="BD71">
            <v>79276664000</v>
          </cell>
          <cell r="BE71">
            <v>87924544000</v>
          </cell>
          <cell r="BF71">
            <v>95129659000</v>
          </cell>
          <cell r="BG71">
            <v>101726331000</v>
          </cell>
          <cell r="BH71">
            <v>99290381000</v>
          </cell>
          <cell r="BI71">
            <v>99937696000</v>
          </cell>
          <cell r="BJ71">
            <v>104295862000</v>
          </cell>
          <cell r="BK71">
            <v>107562008000</v>
          </cell>
          <cell r="BL71">
            <v>108108009000</v>
          </cell>
          <cell r="BM71">
            <v>99291124000</v>
          </cell>
        </row>
        <row r="72">
          <cell r="B72" t="str">
            <v>EGY</v>
          </cell>
          <cell r="C72" t="str">
            <v>GDP (current US$)</v>
          </cell>
          <cell r="D72" t="str">
            <v>NY.GDP.MKTP.CD</v>
          </cell>
          <cell r="J72">
            <v>4948667540.4106598</v>
          </cell>
          <cell r="K72">
            <v>5278005611.914526</v>
          </cell>
          <cell r="L72">
            <v>5605484298.9827509</v>
          </cell>
          <cell r="M72">
            <v>5932242990.6542053</v>
          </cell>
          <cell r="N72">
            <v>6524455205.8111382</v>
          </cell>
          <cell r="O72">
            <v>8042200452.1477013</v>
          </cell>
          <cell r="P72">
            <v>8609283346.0851822</v>
          </cell>
          <cell r="Q72">
            <v>9299638055.8428135</v>
          </cell>
          <cell r="R72">
            <v>10098534613.441132</v>
          </cell>
          <cell r="S72">
            <v>9228963224.6000423</v>
          </cell>
          <cell r="T72">
            <v>11632178868.917141</v>
          </cell>
          <cell r="U72">
            <v>13315988083.416088</v>
          </cell>
          <cell r="V72">
            <v>14400806875.986668</v>
          </cell>
          <cell r="W72">
            <v>14811704063.068527</v>
          </cell>
          <cell r="X72">
            <v>18020571428.57143</v>
          </cell>
          <cell r="Y72">
            <v>21669908176.388889</v>
          </cell>
          <cell r="Z72">
            <v>22136081081.081081</v>
          </cell>
          <cell r="AA72">
            <v>27655172413.793102</v>
          </cell>
          <cell r="AB72">
            <v>30966239813.736904</v>
          </cell>
          <cell r="AC72">
            <v>33971188991.614704</v>
          </cell>
          <cell r="AD72">
            <v>39053502251.073189</v>
          </cell>
          <cell r="AE72">
            <v>41253507951.356407</v>
          </cell>
          <cell r="AF72">
            <v>40455616653.574234</v>
          </cell>
          <cell r="AG72">
            <v>34980124929.017609</v>
          </cell>
          <cell r="AH72">
            <v>39756299049.979347</v>
          </cell>
          <cell r="AI72">
            <v>42978914311.35038</v>
          </cell>
          <cell r="AJ72">
            <v>37387836490.528419</v>
          </cell>
          <cell r="AK72">
            <v>41855986519.423462</v>
          </cell>
          <cell r="AL72">
            <v>46578631452.581032</v>
          </cell>
          <cell r="AM72">
            <v>51897983392.645317</v>
          </cell>
          <cell r="AN72">
            <v>60159245060.45414</v>
          </cell>
          <cell r="AO72">
            <v>67629716981.13208</v>
          </cell>
          <cell r="AP72">
            <v>78436578171.091446</v>
          </cell>
          <cell r="AQ72">
            <v>84828807556.080292</v>
          </cell>
          <cell r="AR72">
            <v>90710704806.841644</v>
          </cell>
          <cell r="AS72">
            <v>99838543960.076324</v>
          </cell>
          <cell r="AT72">
            <v>96684636118.598389</v>
          </cell>
          <cell r="AU72">
            <v>85146067415.730331</v>
          </cell>
          <cell r="AV72">
            <v>80288461538.461533</v>
          </cell>
          <cell r="AW72">
            <v>78782467532.467529</v>
          </cell>
          <cell r="AX72">
            <v>89600665557.404327</v>
          </cell>
          <cell r="AY72">
            <v>107426086956.52174</v>
          </cell>
          <cell r="AZ72">
            <v>130437828371.27846</v>
          </cell>
          <cell r="BA72">
            <v>162818181818.18182</v>
          </cell>
          <cell r="BB72">
            <v>189147005444.64612</v>
          </cell>
          <cell r="BC72">
            <v>218983666061.70599</v>
          </cell>
          <cell r="BD72">
            <v>235989672977.62479</v>
          </cell>
          <cell r="BE72">
            <v>279116666666.66669</v>
          </cell>
          <cell r="BF72">
            <v>288434108527.13177</v>
          </cell>
          <cell r="BG72">
            <v>305595408895.26544</v>
          </cell>
          <cell r="BH72">
            <v>329366576819.40698</v>
          </cell>
          <cell r="BI72">
            <v>332441717791.41101</v>
          </cell>
          <cell r="BJ72">
            <v>248362771739.13043</v>
          </cell>
          <cell r="BK72">
            <v>262588632526.73044</v>
          </cell>
          <cell r="BL72">
            <v>318678815489.74945</v>
          </cell>
          <cell r="BM72">
            <v>383817841547.09918</v>
          </cell>
        </row>
        <row r="73">
          <cell r="B73" t="str">
            <v>EMU</v>
          </cell>
          <cell r="C73" t="str">
            <v>GDP (current US$)</v>
          </cell>
          <cell r="D73" t="str">
            <v>NY.GDP.MKTP.CD</v>
          </cell>
          <cell r="E73">
            <v>244832979621.28595</v>
          </cell>
          <cell r="F73">
            <v>268965206140.91513</v>
          </cell>
          <cell r="G73">
            <v>298819073251.1767</v>
          </cell>
          <cell r="H73">
            <v>335341767111.29968</v>
          </cell>
          <cell r="I73">
            <v>373024154759.54736</v>
          </cell>
          <cell r="J73">
            <v>407740569138.29144</v>
          </cell>
          <cell r="K73">
            <v>444882753309.62146</v>
          </cell>
          <cell r="L73">
            <v>483418609566.27435</v>
          </cell>
          <cell r="M73">
            <v>518991679523.80121</v>
          </cell>
          <cell r="N73">
            <v>579332897735.76331</v>
          </cell>
          <cell r="O73">
            <v>642618205440.96606</v>
          </cell>
          <cell r="P73">
            <v>728350687665.19287</v>
          </cell>
          <cell r="Q73">
            <v>879866451210.21094</v>
          </cell>
          <cell r="R73">
            <v>1142236798783.0139</v>
          </cell>
          <cell r="S73">
            <v>1295369935840.4377</v>
          </cell>
          <cell r="T73">
            <v>1501998691902.0674</v>
          </cell>
          <cell r="U73">
            <v>1567495790394.2302</v>
          </cell>
          <cell r="V73">
            <v>1782978319993.5725</v>
          </cell>
          <cell r="W73">
            <v>2183343936515.7058</v>
          </cell>
          <cell r="X73">
            <v>2644833842318.6602</v>
          </cell>
          <cell r="Y73">
            <v>2962181083319.0312</v>
          </cell>
          <cell r="Z73">
            <v>2574375219647.7417</v>
          </cell>
          <cell r="AA73">
            <v>2492495326231.0708</v>
          </cell>
          <cell r="AB73">
            <v>2431611024346.6528</v>
          </cell>
          <cell r="AC73">
            <v>2332403164199.5049</v>
          </cell>
          <cell r="AD73">
            <v>2396184860778.4907</v>
          </cell>
          <cell r="AE73">
            <v>3362907352245.5723</v>
          </cell>
          <cell r="AF73">
            <v>4159431451515.9004</v>
          </cell>
          <cell r="AG73">
            <v>4574521460012.7383</v>
          </cell>
          <cell r="AH73">
            <v>4672689376253.4248</v>
          </cell>
          <cell r="AI73">
            <v>5880688023843.2617</v>
          </cell>
          <cell r="AJ73">
            <v>6114122875186.2158</v>
          </cell>
          <cell r="AK73">
            <v>6745618204470.3848</v>
          </cell>
          <cell r="AL73">
            <v>6172471796791.9883</v>
          </cell>
          <cell r="AM73">
            <v>6515617848992.9805</v>
          </cell>
          <cell r="AN73">
            <v>7515452849974.9443</v>
          </cell>
          <cell r="AO73">
            <v>7604358498831.918</v>
          </cell>
          <cell r="AP73">
            <v>6952189647138.4297</v>
          </cell>
          <cell r="AQ73">
            <v>7149215002406.3809</v>
          </cell>
          <cell r="AR73">
            <v>7116212677298.501</v>
          </cell>
          <cell r="AS73">
            <v>6495755148668.9121</v>
          </cell>
          <cell r="AT73">
            <v>6596586819720.334</v>
          </cell>
          <cell r="AU73">
            <v>7200156656955.418</v>
          </cell>
          <cell r="AV73">
            <v>8862330817568.418</v>
          </cell>
          <cell r="AW73">
            <v>10160398631608.842</v>
          </cell>
          <cell r="AX73">
            <v>10523525439926.82</v>
          </cell>
          <cell r="AY73">
            <v>11184044960382.438</v>
          </cell>
          <cell r="AZ73">
            <v>12879111960143.525</v>
          </cell>
          <cell r="BA73">
            <v>14158257793140.352</v>
          </cell>
          <cell r="BB73">
            <v>12938506838994.781</v>
          </cell>
          <cell r="BC73">
            <v>12641745700258.459</v>
          </cell>
          <cell r="BD73">
            <v>13637891491638.939</v>
          </cell>
          <cell r="BE73">
            <v>12638777298888.457</v>
          </cell>
          <cell r="BF73">
            <v>13196293606325.521</v>
          </cell>
          <cell r="BG73">
            <v>13510069962193.664</v>
          </cell>
          <cell r="BH73">
            <v>11675505777208.625</v>
          </cell>
          <cell r="BI73">
            <v>11973696253892.754</v>
          </cell>
          <cell r="BJ73">
            <v>12679719055232.582</v>
          </cell>
          <cell r="BK73">
            <v>13698192927474.459</v>
          </cell>
          <cell r="BL73">
            <v>13418360523881.52</v>
          </cell>
          <cell r="BM73">
            <v>13086148411425.059</v>
          </cell>
        </row>
        <row r="74">
          <cell r="B74" t="str">
            <v>ERI</v>
          </cell>
          <cell r="C74" t="str">
            <v>GDP (current US$)</v>
          </cell>
          <cell r="D74" t="str">
            <v>NY.GDP.MKTP.CD</v>
          </cell>
          <cell r="AK74">
            <v>477101651.64837557</v>
          </cell>
          <cell r="AL74">
            <v>467872714.75560319</v>
          </cell>
          <cell r="AM74">
            <v>531688311.6883117</v>
          </cell>
          <cell r="AN74">
            <v>578015625</v>
          </cell>
          <cell r="AO74">
            <v>693535954.19006717</v>
          </cell>
          <cell r="AP74">
            <v>686490090.14014077</v>
          </cell>
          <cell r="AQ74">
            <v>745523074.70532632</v>
          </cell>
          <cell r="AR74">
            <v>688918508.94802928</v>
          </cell>
          <cell r="AS74">
            <v>706370815.58441556</v>
          </cell>
          <cell r="AT74">
            <v>752371683.19936144</v>
          </cell>
          <cell r="AU74">
            <v>729321671.44591653</v>
          </cell>
          <cell r="AV74">
            <v>870248293.67830348</v>
          </cell>
          <cell r="AW74">
            <v>1109054005.4397099</v>
          </cell>
          <cell r="AX74">
            <v>1098424709.486753</v>
          </cell>
          <cell r="AY74">
            <v>1211161879.6747968</v>
          </cell>
          <cell r="AZ74">
            <v>1317974491.0569105</v>
          </cell>
          <cell r="BA74">
            <v>1380188800</v>
          </cell>
          <cell r="BB74">
            <v>1856695551.2195122</v>
          </cell>
          <cell r="BC74">
            <v>1589515447.1544716</v>
          </cell>
          <cell r="BD74">
            <v>2065001626.0162601</v>
          </cell>
        </row>
        <row r="75">
          <cell r="B75" t="str">
            <v>ESP</v>
          </cell>
          <cell r="C75" t="str">
            <v>GDP (current US$)</v>
          </cell>
          <cell r="D75" t="str">
            <v>NY.GDP.MKTP.CD</v>
          </cell>
          <cell r="E75">
            <v>12072126075.397039</v>
          </cell>
          <cell r="F75">
            <v>13834300571.484875</v>
          </cell>
          <cell r="G75">
            <v>16138545209.245983</v>
          </cell>
          <cell r="H75">
            <v>19074913947.719639</v>
          </cell>
          <cell r="I75">
            <v>21343844643.73407</v>
          </cell>
          <cell r="J75">
            <v>24756958694.92382</v>
          </cell>
          <cell r="K75">
            <v>28721062242.163357</v>
          </cell>
          <cell r="L75">
            <v>31647119228.198189</v>
          </cell>
          <cell r="M75">
            <v>31475548481.409546</v>
          </cell>
          <cell r="N75">
            <v>36038711599.540985</v>
          </cell>
          <cell r="O75">
            <v>40992995008.319466</v>
          </cell>
          <cell r="P75">
            <v>46619420359.281441</v>
          </cell>
          <cell r="Q75">
            <v>59132415221.330574</v>
          </cell>
          <cell r="R75">
            <v>78639525985.151337</v>
          </cell>
          <cell r="S75">
            <v>97274006345.543701</v>
          </cell>
          <cell r="T75">
            <v>114777046376.8116</v>
          </cell>
          <cell r="U75">
            <v>118507184779.90549</v>
          </cell>
          <cell r="V75">
            <v>132449277108.43373</v>
          </cell>
          <cell r="W75">
            <v>160599687500</v>
          </cell>
          <cell r="X75">
            <v>214601955875.06198</v>
          </cell>
          <cell r="Y75">
            <v>232766822928.75375</v>
          </cell>
          <cell r="Z75">
            <v>202807891511.98416</v>
          </cell>
          <cell r="AA75">
            <v>195996754505.5278</v>
          </cell>
          <cell r="AB75">
            <v>170951185614.84918</v>
          </cell>
          <cell r="AC75">
            <v>172102910370.52371</v>
          </cell>
          <cell r="AD75">
            <v>180793463796.47748</v>
          </cell>
          <cell r="AE75">
            <v>251321075204.94238</v>
          </cell>
          <cell r="AF75">
            <v>318747935588.19568</v>
          </cell>
          <cell r="AG75">
            <v>376160409941.43695</v>
          </cell>
          <cell r="AH75">
            <v>414757056921.99579</v>
          </cell>
          <cell r="AI75">
            <v>536558591250.40808</v>
          </cell>
          <cell r="AJ75">
            <v>577166174539.63171</v>
          </cell>
          <cell r="AK75">
            <v>630916018202.50293</v>
          </cell>
          <cell r="AL75">
            <v>525075636030.8537</v>
          </cell>
          <cell r="AM75">
            <v>530562634455.34711</v>
          </cell>
          <cell r="AN75">
            <v>614609020549.77319</v>
          </cell>
          <cell r="AO75">
            <v>642588992512.80701</v>
          </cell>
          <cell r="AP75">
            <v>590077272727.27271</v>
          </cell>
          <cell r="AQ75">
            <v>619214834614.09949</v>
          </cell>
          <cell r="AR75">
            <v>634907542858.30249</v>
          </cell>
          <cell r="AS75">
            <v>598363313494.9032</v>
          </cell>
          <cell r="AT75">
            <v>627830029412.20544</v>
          </cell>
          <cell r="AU75">
            <v>708756677088.62866</v>
          </cell>
          <cell r="AV75">
            <v>907491523174.11572</v>
          </cell>
          <cell r="AW75">
            <v>1069055675273.7479</v>
          </cell>
          <cell r="AX75">
            <v>1153715822717.5093</v>
          </cell>
          <cell r="AY75">
            <v>1260398977831.7629</v>
          </cell>
          <cell r="AZ75">
            <v>1474002579820.0046</v>
          </cell>
          <cell r="BA75">
            <v>1631863493552.3433</v>
          </cell>
          <cell r="BB75">
            <v>1491472923706.6396</v>
          </cell>
          <cell r="BC75">
            <v>1422108199783.3699</v>
          </cell>
          <cell r="BD75">
            <v>1480710495710.1299</v>
          </cell>
          <cell r="BE75">
            <v>1324750738725.0002</v>
          </cell>
          <cell r="BF75">
            <v>1355579535912.5637</v>
          </cell>
          <cell r="BG75">
            <v>1371820537888.6008</v>
          </cell>
          <cell r="BH75">
            <v>1196156971279.6868</v>
          </cell>
          <cell r="BI75">
            <v>1233554967011.7102</v>
          </cell>
          <cell r="BJ75">
            <v>1313245330197.6611</v>
          </cell>
          <cell r="BK75">
            <v>1421702715218.0129</v>
          </cell>
          <cell r="BL75">
            <v>1394320055129.3845</v>
          </cell>
          <cell r="BM75">
            <v>1276962685648.2307</v>
          </cell>
        </row>
        <row r="76">
          <cell r="B76" t="str">
            <v>EST</v>
          </cell>
          <cell r="C76" t="str">
            <v>GDP (current US$)</v>
          </cell>
          <cell r="D76" t="str">
            <v>NY.GDP.MKTP.CD</v>
          </cell>
          <cell r="AN76">
            <v>4502970889.0637293</v>
          </cell>
          <cell r="AO76">
            <v>4786018988.1649103</v>
          </cell>
          <cell r="AP76">
            <v>5154420649.2335434</v>
          </cell>
          <cell r="AQ76">
            <v>5674080542.8857489</v>
          </cell>
          <cell r="AR76">
            <v>5756912265.7580919</v>
          </cell>
          <cell r="AS76">
            <v>5686579747.535244</v>
          </cell>
          <cell r="AT76">
            <v>6254649538.9848719</v>
          </cell>
          <cell r="AU76">
            <v>7367975887.7272291</v>
          </cell>
          <cell r="AV76">
            <v>9874013098.4643173</v>
          </cell>
          <cell r="AW76">
            <v>12145911801.242235</v>
          </cell>
          <cell r="AX76">
            <v>14106790200.223852</v>
          </cell>
          <cell r="AY76">
            <v>17022870405.218918</v>
          </cell>
          <cell r="AZ76">
            <v>22449129482.617027</v>
          </cell>
          <cell r="BA76">
            <v>24341678628.973194</v>
          </cell>
          <cell r="BB76">
            <v>19633031397.610447</v>
          </cell>
          <cell r="BC76">
            <v>19523477325.623463</v>
          </cell>
          <cell r="BD76">
            <v>23213994093.463242</v>
          </cell>
          <cell r="BE76">
            <v>23019150071.186726</v>
          </cell>
          <cell r="BF76">
            <v>25115753366.111645</v>
          </cell>
          <cell r="BG76">
            <v>26634083965.098305</v>
          </cell>
          <cell r="BH76">
            <v>22890762090.150768</v>
          </cell>
          <cell r="BI76">
            <v>24072829276.775043</v>
          </cell>
          <cell r="BJ76">
            <v>26924385103.066174</v>
          </cell>
          <cell r="BK76">
            <v>30624720196.228451</v>
          </cell>
          <cell r="BL76">
            <v>31081901909.21508</v>
          </cell>
          <cell r="BM76">
            <v>31370395572.765308</v>
          </cell>
        </row>
        <row r="77">
          <cell r="B77" t="str">
            <v>ETH</v>
          </cell>
          <cell r="C77" t="str">
            <v>GDP (current US$)</v>
          </cell>
          <cell r="D77" t="str">
            <v>NY.GDP.MKTP.CD</v>
          </cell>
          <cell r="Z77">
            <v>7324903191.944397</v>
          </cell>
          <cell r="AA77">
            <v>7707678023.0471869</v>
          </cell>
          <cell r="AB77">
            <v>8567890825.3951159</v>
          </cell>
          <cell r="AC77">
            <v>8096302370.7350903</v>
          </cell>
          <cell r="AD77">
            <v>9480840483.0917873</v>
          </cell>
          <cell r="AE77">
            <v>9848600869.565218</v>
          </cell>
          <cell r="AF77">
            <v>10527338647.342997</v>
          </cell>
          <cell r="AG77">
            <v>10908935748.792271</v>
          </cell>
          <cell r="AH77">
            <v>11476584879.227055</v>
          </cell>
          <cell r="AI77">
            <v>12175166763.285025</v>
          </cell>
          <cell r="AJ77">
            <v>13463868357.487925</v>
          </cell>
          <cell r="AK77">
            <v>10492993077.609276</v>
          </cell>
          <cell r="AL77">
            <v>8830712713.9078121</v>
          </cell>
          <cell r="AM77">
            <v>6927950564.5565681</v>
          </cell>
          <cell r="AN77">
            <v>7663984567.9012346</v>
          </cell>
          <cell r="AO77">
            <v>8547939730.623744</v>
          </cell>
          <cell r="AP77">
            <v>8589233419.5941086</v>
          </cell>
          <cell r="AQ77">
            <v>7818205971.602313</v>
          </cell>
          <cell r="AR77">
            <v>7700833482.0061502</v>
          </cell>
          <cell r="AS77">
            <v>8242349955.0511074</v>
          </cell>
          <cell r="AT77">
            <v>8231326016.4749403</v>
          </cell>
          <cell r="AU77">
            <v>7850809498.1680269</v>
          </cell>
          <cell r="AV77">
            <v>8623691300.0407887</v>
          </cell>
          <cell r="AW77">
            <v>10131187261.442078</v>
          </cell>
          <cell r="AX77">
            <v>12401139453.973831</v>
          </cell>
          <cell r="AY77">
            <v>15280861834.602404</v>
          </cell>
          <cell r="AZ77">
            <v>19707616772.799637</v>
          </cell>
          <cell r="BA77">
            <v>27066912635.222847</v>
          </cell>
          <cell r="BB77">
            <v>32437389116.038006</v>
          </cell>
          <cell r="BC77">
            <v>29933790334.341789</v>
          </cell>
          <cell r="BD77">
            <v>31952763089.330025</v>
          </cell>
          <cell r="BE77">
            <v>43310721414.082878</v>
          </cell>
          <cell r="BF77">
            <v>47648276190.297699</v>
          </cell>
          <cell r="BG77">
            <v>55612228233.51786</v>
          </cell>
          <cell r="BH77">
            <v>64589329344.693703</v>
          </cell>
          <cell r="BI77">
            <v>74296745599.004761</v>
          </cell>
          <cell r="BJ77">
            <v>81770886908.519836</v>
          </cell>
          <cell r="BK77">
            <v>84269196152.033264</v>
          </cell>
          <cell r="BL77">
            <v>95912607970.168594</v>
          </cell>
          <cell r="BM77">
            <v>107657734392.44585</v>
          </cell>
        </row>
        <row r="78">
          <cell r="B78" t="str">
            <v>EUU</v>
          </cell>
          <cell r="C78" t="str">
            <v>GDP (current US$)</v>
          </cell>
          <cell r="D78" t="str">
            <v>NY.GDP.MKTP.CD</v>
          </cell>
          <cell r="O78">
            <v>725882274752.55078</v>
          </cell>
          <cell r="P78">
            <v>820757717773.02209</v>
          </cell>
          <cell r="Q78">
            <v>990362028045.83545</v>
          </cell>
          <cell r="R78">
            <v>1281934388219.4592</v>
          </cell>
          <cell r="S78">
            <v>1451652145420.3794</v>
          </cell>
          <cell r="T78">
            <v>1690761678269.7192</v>
          </cell>
          <cell r="U78">
            <v>1769935314570.5476</v>
          </cell>
          <cell r="V78">
            <v>2004764968389.2178</v>
          </cell>
          <cell r="W78">
            <v>2442532706245.0781</v>
          </cell>
          <cell r="X78">
            <v>2952641158090.9019</v>
          </cell>
          <cell r="Y78">
            <v>3302960284315.5073</v>
          </cell>
          <cell r="Z78">
            <v>2879789914532.563</v>
          </cell>
          <cell r="AA78">
            <v>2777189622000.2871</v>
          </cell>
          <cell r="AB78">
            <v>2701887926641.7988</v>
          </cell>
          <cell r="AC78">
            <v>2603220657105.8716</v>
          </cell>
          <cell r="AD78">
            <v>2677480780323.4028</v>
          </cell>
          <cell r="AE78">
            <v>3743790927546.5283</v>
          </cell>
          <cell r="AF78">
            <v>4630938021004.6855</v>
          </cell>
          <cell r="AG78">
            <v>5083942710178.2305</v>
          </cell>
          <cell r="AH78">
            <v>5193046311962.751</v>
          </cell>
          <cell r="AI78">
            <v>6497762738132.1465</v>
          </cell>
          <cell r="AJ78">
            <v>6735921579249.3271</v>
          </cell>
          <cell r="AK78">
            <v>7406344155354.1201</v>
          </cell>
          <cell r="AL78">
            <v>6761163265087.0166</v>
          </cell>
          <cell r="AM78">
            <v>7161927357609.8027</v>
          </cell>
          <cell r="AN78">
            <v>8295833072767.3867</v>
          </cell>
          <cell r="AO78">
            <v>8431357595824.374</v>
          </cell>
          <cell r="AP78">
            <v>7733774323755.3887</v>
          </cell>
          <cell r="AQ78">
            <v>7969828858391.9541</v>
          </cell>
          <cell r="AR78">
            <v>7925875793536.1543</v>
          </cell>
          <cell r="AS78">
            <v>7276637983680.5195</v>
          </cell>
          <cell r="AT78">
            <v>7393878987404.8379</v>
          </cell>
          <cell r="AU78">
            <v>8083741282668.4717</v>
          </cell>
          <cell r="AV78">
            <v>9932175155885.9961</v>
          </cell>
          <cell r="AW78">
            <v>11418921613749.252</v>
          </cell>
          <cell r="AX78">
            <v>11910059838303.975</v>
          </cell>
          <cell r="AY78">
            <v>12712564874685.105</v>
          </cell>
          <cell r="AZ78">
            <v>14727376164775.461</v>
          </cell>
          <cell r="BA78">
            <v>16295205228567.268</v>
          </cell>
          <cell r="BB78">
            <v>14762588819490.096</v>
          </cell>
          <cell r="BC78">
            <v>14555972617838.322</v>
          </cell>
          <cell r="BD78">
            <v>15764817006876.982</v>
          </cell>
          <cell r="BE78">
            <v>14641967048097.08</v>
          </cell>
          <cell r="BF78">
            <v>15294848407438.238</v>
          </cell>
          <cell r="BG78">
            <v>15650588620201.969</v>
          </cell>
          <cell r="BH78">
            <v>13553055207692</v>
          </cell>
          <cell r="BI78">
            <v>13889039447069.811</v>
          </cell>
          <cell r="BJ78">
            <v>14764668937681.107</v>
          </cell>
          <cell r="BK78">
            <v>15979881686055.648</v>
          </cell>
          <cell r="BL78">
            <v>15692624900172.979</v>
          </cell>
          <cell r="BM78">
            <v>15370461303996.363</v>
          </cell>
        </row>
        <row r="79">
          <cell r="B79" t="str">
            <v>FCS</v>
          </cell>
          <cell r="C79" t="str">
            <v>GDP (current US$)</v>
          </cell>
          <cell r="D79" t="str">
            <v>NY.GDP.MKTP.CD</v>
          </cell>
          <cell r="M79">
            <v>47573059713.525909</v>
          </cell>
          <cell r="N79">
            <v>53047000528.579666</v>
          </cell>
          <cell r="O79">
            <v>64779731305.445229</v>
          </cell>
          <cell r="P79">
            <v>65674584279.189568</v>
          </cell>
          <cell r="Q79">
            <v>75186521183.907974</v>
          </cell>
          <cell r="R79">
            <v>92162608018.097595</v>
          </cell>
          <cell r="S79">
            <v>137116311356.88686</v>
          </cell>
          <cell r="T79">
            <v>153853392733.67242</v>
          </cell>
          <cell r="U79">
            <v>181038395800.65295</v>
          </cell>
          <cell r="V79">
            <v>199022597842.86383</v>
          </cell>
          <cell r="W79">
            <v>221696773332.20602</v>
          </cell>
          <cell r="X79">
            <v>278371860287.19238</v>
          </cell>
          <cell r="Y79">
            <v>349251273241.36139</v>
          </cell>
          <cell r="Z79">
            <v>487073667103.6673</v>
          </cell>
          <cell r="AA79">
            <v>466093357291.09528</v>
          </cell>
          <cell r="AB79">
            <v>396969411755.86218</v>
          </cell>
          <cell r="AC79">
            <v>358699789769.64227</v>
          </cell>
          <cell r="AD79">
            <v>366451346774.27509</v>
          </cell>
          <cell r="AE79">
            <v>355576918851.83545</v>
          </cell>
          <cell r="AF79">
            <v>366343472514.84296</v>
          </cell>
          <cell r="AG79">
            <v>383895976989.38361</v>
          </cell>
          <cell r="AH79">
            <v>381331068433.64624</v>
          </cell>
          <cell r="AI79">
            <v>551464186619.21753</v>
          </cell>
          <cell r="AJ79">
            <v>381634234040.4223</v>
          </cell>
          <cell r="AK79">
            <v>347774614446.07422</v>
          </cell>
          <cell r="AL79">
            <v>326482644976.69196</v>
          </cell>
          <cell r="AM79">
            <v>314380122163.7572</v>
          </cell>
          <cell r="AN79">
            <v>361978544842.31543</v>
          </cell>
          <cell r="AO79">
            <v>374178361217.67084</v>
          </cell>
          <cell r="AP79">
            <v>424021947033.93591</v>
          </cell>
          <cell r="AQ79">
            <v>419787608120.2464</v>
          </cell>
          <cell r="AR79">
            <v>452381438866.93457</v>
          </cell>
          <cell r="AS79">
            <v>525923492617.64343</v>
          </cell>
          <cell r="AT79">
            <v>524820607656.15729</v>
          </cell>
          <cell r="AU79">
            <v>515128617521.84387</v>
          </cell>
          <cell r="AV79">
            <v>540101886447.46759</v>
          </cell>
          <cell r="AW79">
            <v>681202193967.1792</v>
          </cell>
          <cell r="AX79">
            <v>856243749366.61426</v>
          </cell>
          <cell r="AY79">
            <v>1060626418683.6013</v>
          </cell>
          <cell r="AZ79">
            <v>1291580794819.0364</v>
          </cell>
          <cell r="BA79">
            <v>1636226107510.3484</v>
          </cell>
          <cell r="BB79">
            <v>1512317017807.7026</v>
          </cell>
          <cell r="BC79">
            <v>1789423802005.3247</v>
          </cell>
          <cell r="BD79">
            <v>1682954992313.1567</v>
          </cell>
          <cell r="BE79">
            <v>1886027758540.5</v>
          </cell>
          <cell r="BF79">
            <v>1957737559888.9419</v>
          </cell>
          <cell r="BG79">
            <v>2077047395313.5364</v>
          </cell>
          <cell r="BH79">
            <v>1659059960949.3118</v>
          </cell>
          <cell r="BI79">
            <v>1555352426735.1409</v>
          </cell>
          <cell r="BJ79">
            <v>1645540777006.2473</v>
          </cell>
          <cell r="BK79">
            <v>1730287221140.2244</v>
          </cell>
          <cell r="BL79">
            <v>1826389026348.8472</v>
          </cell>
          <cell r="BM79">
            <v>1663072394700.7883</v>
          </cell>
        </row>
        <row r="80">
          <cell r="B80" t="str">
            <v>FIN</v>
          </cell>
          <cell r="C80" t="str">
            <v>GDP (current US$)</v>
          </cell>
          <cell r="D80" t="str">
            <v>NY.GDP.MKTP.CD</v>
          </cell>
          <cell r="E80">
            <v>5224102195.5277081</v>
          </cell>
          <cell r="F80">
            <v>5921659485.0328388</v>
          </cell>
          <cell r="G80">
            <v>6340580854.390729</v>
          </cell>
          <cell r="H80">
            <v>6885920328.661869</v>
          </cell>
          <cell r="I80">
            <v>7766655085.7858801</v>
          </cell>
          <cell r="J80">
            <v>8589340019.0298481</v>
          </cell>
          <cell r="K80">
            <v>9208524504.8768425</v>
          </cell>
          <cell r="L80">
            <v>9368954010.3131962</v>
          </cell>
          <cell r="M80">
            <v>8823033880.3299313</v>
          </cell>
          <cell r="N80">
            <v>10070766720.501141</v>
          </cell>
          <cell r="O80">
            <v>11357516987.542469</v>
          </cell>
          <cell r="P80">
            <v>12527405512.92981</v>
          </cell>
          <cell r="Q80">
            <v>14743186119.873817</v>
          </cell>
          <cell r="R80">
            <v>19472363466.625172</v>
          </cell>
          <cell r="S80">
            <v>24848821490.467937</v>
          </cell>
          <cell r="T80">
            <v>29472623242.282204</v>
          </cell>
          <cell r="U80">
            <v>31849513771.349438</v>
          </cell>
          <cell r="V80">
            <v>33499799321.233585</v>
          </cell>
          <cell r="W80">
            <v>36256160288.808662</v>
          </cell>
          <cell r="X80">
            <v>44465255686.154785</v>
          </cell>
          <cell r="Y80">
            <v>53645202422.696846</v>
          </cell>
          <cell r="Z80">
            <v>52448332874.069992</v>
          </cell>
          <cell r="AA80">
            <v>52797582336.252625</v>
          </cell>
          <cell r="AB80">
            <v>50973526900.085396</v>
          </cell>
          <cell r="AC80">
            <v>52888800949.742783</v>
          </cell>
          <cell r="AD80">
            <v>55875863392.171913</v>
          </cell>
          <cell r="AE80">
            <v>73531550551.25499</v>
          </cell>
          <cell r="AF80">
            <v>91594751792.235901</v>
          </cell>
          <cell r="AG80">
            <v>109058990760.48329</v>
          </cell>
          <cell r="AH80">
            <v>119012054870.44478</v>
          </cell>
          <cell r="AI80">
            <v>141438345513.91696</v>
          </cell>
          <cell r="AJ80">
            <v>127773856785.76678</v>
          </cell>
          <cell r="AK80">
            <v>112532519246.08443</v>
          </cell>
          <cell r="AL80">
            <v>89214114708.025406</v>
          </cell>
          <cell r="AM80">
            <v>103299943084.80365</v>
          </cell>
          <cell r="AN80">
            <v>134189814814.8148</v>
          </cell>
          <cell r="AO80">
            <v>132129174216.92986</v>
          </cell>
          <cell r="AP80">
            <v>126912152101.70656</v>
          </cell>
          <cell r="AQ80">
            <v>134038718291.05473</v>
          </cell>
          <cell r="AR80">
            <v>135264083658.68756</v>
          </cell>
          <cell r="AS80">
            <v>126019543413.3336</v>
          </cell>
          <cell r="AT80">
            <v>129533107311.81119</v>
          </cell>
          <cell r="AU80">
            <v>140404460203.13751</v>
          </cell>
          <cell r="AV80">
            <v>171652458349.41141</v>
          </cell>
          <cell r="AW80">
            <v>197479443979.15109</v>
          </cell>
          <cell r="AX80">
            <v>204885494686.38123</v>
          </cell>
          <cell r="AY80">
            <v>217089269791.7644</v>
          </cell>
          <cell r="AZ80">
            <v>256378067752.15768</v>
          </cell>
          <cell r="BA80">
            <v>285716311136.71869</v>
          </cell>
          <cell r="BB80">
            <v>253497520828.51544</v>
          </cell>
          <cell r="BC80">
            <v>249424310816.6731</v>
          </cell>
          <cell r="BD80">
            <v>275604356167.31763</v>
          </cell>
          <cell r="BE80">
            <v>258290060227.73444</v>
          </cell>
          <cell r="BF80">
            <v>271362405890.59116</v>
          </cell>
          <cell r="BG80">
            <v>274862826772.15152</v>
          </cell>
          <cell r="BH80">
            <v>234534382384.7655</v>
          </cell>
          <cell r="BI80">
            <v>240771351298.83994</v>
          </cell>
          <cell r="BJ80">
            <v>255647979916.47333</v>
          </cell>
          <cell r="BK80">
            <v>275708001767.83801</v>
          </cell>
          <cell r="BL80">
            <v>268514916972.54379</v>
          </cell>
          <cell r="BM80">
            <v>271886077382.09726</v>
          </cell>
        </row>
        <row r="81">
          <cell r="B81" t="str">
            <v>FJI</v>
          </cell>
          <cell r="C81" t="str">
            <v>GDP (current US$)</v>
          </cell>
          <cell r="D81" t="str">
            <v>NY.GDP.MKTP.CD</v>
          </cell>
          <cell r="E81">
            <v>112328422.11308399</v>
          </cell>
          <cell r="F81">
            <v>116987784.91373882</v>
          </cell>
          <cell r="G81">
            <v>122906434.95781387</v>
          </cell>
          <cell r="H81">
            <v>129454728.62359904</v>
          </cell>
          <cell r="I81">
            <v>140032741.46832892</v>
          </cell>
          <cell r="J81">
            <v>147084750.03148219</v>
          </cell>
          <cell r="K81">
            <v>150603925.51585305</v>
          </cell>
          <cell r="L81">
            <v>162625885.86348379</v>
          </cell>
          <cell r="M81">
            <v>166952937.13500515</v>
          </cell>
          <cell r="N81">
            <v>182182067.70356816</v>
          </cell>
          <cell r="O81">
            <v>219878482.17356414</v>
          </cell>
          <cell r="P81">
            <v>247749327.7212674</v>
          </cell>
          <cell r="Q81">
            <v>316656759.38113195</v>
          </cell>
          <cell r="R81">
            <v>425950581.25945771</v>
          </cell>
          <cell r="S81">
            <v>558587216.56826556</v>
          </cell>
          <cell r="T81">
            <v>684282380.89354837</v>
          </cell>
          <cell r="U81">
            <v>694540494.5727402</v>
          </cell>
          <cell r="V81">
            <v>719501505.15092731</v>
          </cell>
          <cell r="W81">
            <v>829268135.24117136</v>
          </cell>
          <cell r="X81">
            <v>1019691156.3685273</v>
          </cell>
          <cell r="Y81">
            <v>1202619307.7646616</v>
          </cell>
          <cell r="Z81">
            <v>1235627374.3754494</v>
          </cell>
          <cell r="AA81">
            <v>1194060371.3599176</v>
          </cell>
          <cell r="AB81">
            <v>1123084823.072782</v>
          </cell>
          <cell r="AC81">
            <v>1178001041.3424249</v>
          </cell>
          <cell r="AD81">
            <v>1141168779.5115707</v>
          </cell>
          <cell r="AE81">
            <v>1290267529.5684667</v>
          </cell>
          <cell r="AF81">
            <v>1177947649.4509723</v>
          </cell>
          <cell r="AG81">
            <v>1110009264.0606909</v>
          </cell>
          <cell r="AH81">
            <v>1182660000.0000026</v>
          </cell>
          <cell r="AI81">
            <v>1337017258.5519054</v>
          </cell>
          <cell r="AJ81">
            <v>1383883718.5267262</v>
          </cell>
          <cell r="AK81">
            <v>1532411208.9838684</v>
          </cell>
          <cell r="AL81">
            <v>1636101246.9394045</v>
          </cell>
          <cell r="AM81">
            <v>1825732092.5467432</v>
          </cell>
          <cell r="AN81">
            <v>1970301019.1988668</v>
          </cell>
          <cell r="AO81">
            <v>2128696643.6257393</v>
          </cell>
          <cell r="AP81">
            <v>2090221137.0287633</v>
          </cell>
          <cell r="AQ81">
            <v>1653146993.935019</v>
          </cell>
          <cell r="AR81">
            <v>1936459986.0379515</v>
          </cell>
          <cell r="AS81">
            <v>1678219507.8982911</v>
          </cell>
          <cell r="AT81">
            <v>1652462062.6388407</v>
          </cell>
          <cell r="AU81">
            <v>1833279985.367415</v>
          </cell>
          <cell r="AV81">
            <v>2300492002.0130219</v>
          </cell>
          <cell r="AW81">
            <v>2708078476.6301212</v>
          </cell>
          <cell r="AX81">
            <v>2980403464.5306616</v>
          </cell>
          <cell r="AY81">
            <v>3076305452.8650646</v>
          </cell>
          <cell r="AZ81">
            <v>3378314599.764019</v>
          </cell>
          <cell r="BA81">
            <v>3523185919.5582609</v>
          </cell>
          <cell r="BB81">
            <v>2870624635.6803193</v>
          </cell>
          <cell r="BC81">
            <v>3140167239.4686899</v>
          </cell>
          <cell r="BD81">
            <v>3779412255.4769435</v>
          </cell>
          <cell r="BE81">
            <v>3972028509.664495</v>
          </cell>
          <cell r="BF81">
            <v>4189968869.8172112</v>
          </cell>
          <cell r="BG81">
            <v>4857103846.729845</v>
          </cell>
          <cell r="BH81">
            <v>4682480303.9746895</v>
          </cell>
          <cell r="BI81">
            <v>4930213787.5045147</v>
          </cell>
          <cell r="BJ81">
            <v>5353468387.5601883</v>
          </cell>
          <cell r="BK81">
            <v>5581425890.9665098</v>
          </cell>
          <cell r="BL81">
            <v>5481692621.611248</v>
          </cell>
          <cell r="BM81">
            <v>4477030179.8312769</v>
          </cell>
        </row>
        <row r="82">
          <cell r="B82" t="str">
            <v>FRA</v>
          </cell>
          <cell r="C82" t="str">
            <v>GDP (current US$)</v>
          </cell>
          <cell r="D82" t="str">
            <v>NY.GDP.MKTP.CD</v>
          </cell>
          <cell r="E82">
            <v>62225478000.88224</v>
          </cell>
          <cell r="F82">
            <v>67461644222.035179</v>
          </cell>
          <cell r="G82">
            <v>75607529809.928787</v>
          </cell>
          <cell r="H82">
            <v>84759195105.869278</v>
          </cell>
          <cell r="I82">
            <v>94007851047.367783</v>
          </cell>
          <cell r="J82">
            <v>101537248148.42683</v>
          </cell>
          <cell r="K82">
            <v>110045852177.92784</v>
          </cell>
          <cell r="L82">
            <v>118972977486.2066</v>
          </cell>
          <cell r="M82">
            <v>129785441507.45569</v>
          </cell>
          <cell r="N82">
            <v>141903068680.30939</v>
          </cell>
          <cell r="O82">
            <v>148456359985.82733</v>
          </cell>
          <cell r="P82">
            <v>165966615366.40228</v>
          </cell>
          <cell r="Q82">
            <v>203494148244.47333</v>
          </cell>
          <cell r="R82">
            <v>264429876252.20981</v>
          </cell>
          <cell r="S82">
            <v>285552373158.75616</v>
          </cell>
          <cell r="T82">
            <v>360832186018.05115</v>
          </cell>
          <cell r="U82">
            <v>372319038514.0672</v>
          </cell>
          <cell r="V82">
            <v>410279486493.7149</v>
          </cell>
          <cell r="W82">
            <v>506707848837.20935</v>
          </cell>
          <cell r="X82">
            <v>613953129818.0697</v>
          </cell>
          <cell r="Y82">
            <v>701288419745.42065</v>
          </cell>
          <cell r="Z82">
            <v>615552202776.10132</v>
          </cell>
          <cell r="AA82">
            <v>584877732308.61365</v>
          </cell>
          <cell r="AB82">
            <v>559869179791.72046</v>
          </cell>
          <cell r="AC82">
            <v>530683779929.44531</v>
          </cell>
          <cell r="AD82">
            <v>553138414367.06091</v>
          </cell>
          <cell r="AE82">
            <v>771470783218.10779</v>
          </cell>
          <cell r="AF82">
            <v>934173305685.91077</v>
          </cell>
          <cell r="AG82">
            <v>1018847043277.1721</v>
          </cell>
          <cell r="AH82">
            <v>1025211803413.5308</v>
          </cell>
          <cell r="AI82">
            <v>1269179616913.625</v>
          </cell>
          <cell r="AJ82">
            <v>1269276828275.782</v>
          </cell>
          <cell r="AK82">
            <v>1401465923172.2427</v>
          </cell>
          <cell r="AL82">
            <v>1322815612694.0005</v>
          </cell>
          <cell r="AM82">
            <v>1393982750472.5898</v>
          </cell>
          <cell r="AN82">
            <v>1601094756209.7515</v>
          </cell>
          <cell r="AO82">
            <v>1605675086549.5576</v>
          </cell>
          <cell r="AP82">
            <v>1452884917959.0918</v>
          </cell>
          <cell r="AQ82">
            <v>1503108739159.4397</v>
          </cell>
          <cell r="AR82">
            <v>1493151737698.459</v>
          </cell>
          <cell r="AS82">
            <v>1365639660792.1597</v>
          </cell>
          <cell r="AT82">
            <v>1377657339291.3403</v>
          </cell>
          <cell r="AU82">
            <v>1501409382971.3752</v>
          </cell>
          <cell r="AV82">
            <v>1844544792036.8589</v>
          </cell>
          <cell r="AW82">
            <v>2119633181634.3684</v>
          </cell>
          <cell r="AX82">
            <v>2196945232435.7966</v>
          </cell>
          <cell r="AY82">
            <v>2320536221304.7026</v>
          </cell>
          <cell r="AZ82">
            <v>2660591246211.7734</v>
          </cell>
          <cell r="BA82">
            <v>2930303780828.1245</v>
          </cell>
          <cell r="BB82">
            <v>2700887366932.0293</v>
          </cell>
          <cell r="BC82">
            <v>2645187882116.7349</v>
          </cell>
          <cell r="BD82">
            <v>2865157541994.189</v>
          </cell>
          <cell r="BE82">
            <v>2683671716967.188</v>
          </cell>
          <cell r="BF82">
            <v>2811876903329.0498</v>
          </cell>
          <cell r="BG82">
            <v>2855964488590.1406</v>
          </cell>
          <cell r="BH82">
            <v>2439188643162.4985</v>
          </cell>
          <cell r="BI82">
            <v>2472964344587.2339</v>
          </cell>
          <cell r="BJ82">
            <v>2595151045197.6748</v>
          </cell>
          <cell r="BK82">
            <v>2790956878746.6147</v>
          </cell>
          <cell r="BL82">
            <v>2728870246705.8291</v>
          </cell>
          <cell r="BM82">
            <v>2639008701648.2109</v>
          </cell>
        </row>
        <row r="83">
          <cell r="B83" t="str">
            <v>FRO</v>
          </cell>
          <cell r="C83" t="str">
            <v>GDP (current US$)</v>
          </cell>
          <cell r="D83" t="str">
            <v>NY.GDP.MKTP.CD</v>
          </cell>
          <cell r="AQ83">
            <v>1104744290.2567239</v>
          </cell>
          <cell r="AR83">
            <v>1127684827.3568571</v>
          </cell>
          <cell r="AS83">
            <v>1067109508.6452018</v>
          </cell>
          <cell r="AT83">
            <v>1160268142.3688552</v>
          </cell>
          <cell r="AU83">
            <v>1275093662.3523519</v>
          </cell>
          <cell r="AV83">
            <v>1501941504.8914595</v>
          </cell>
          <cell r="AW83">
            <v>1724770866.7975645</v>
          </cell>
          <cell r="AX83">
            <v>1759739599.2269354</v>
          </cell>
          <cell r="AY83">
            <v>2017680721.8025906</v>
          </cell>
          <cell r="AZ83">
            <v>2339015384.9074197</v>
          </cell>
          <cell r="BA83">
            <v>2489873331.0263896</v>
          </cell>
          <cell r="BB83">
            <v>2296065312.8225522</v>
          </cell>
          <cell r="BC83">
            <v>2331796784.3600945</v>
          </cell>
          <cell r="BD83">
            <v>2505740886.2590709</v>
          </cell>
          <cell r="BE83">
            <v>2427200582.9111452</v>
          </cell>
          <cell r="BF83">
            <v>2690110671.241323</v>
          </cell>
          <cell r="BG83">
            <v>2914012852.340621</v>
          </cell>
          <cell r="BH83">
            <v>2573906035.5958357</v>
          </cell>
          <cell r="BI83">
            <v>2813278761.275238</v>
          </cell>
          <cell r="BJ83">
            <v>2980057167.7359519</v>
          </cell>
          <cell r="BK83">
            <v>3188601035.1907024</v>
          </cell>
          <cell r="BL83">
            <v>3275684065.1313915</v>
          </cell>
          <cell r="BM83">
            <v>3248670978.1016498</v>
          </cell>
        </row>
        <row r="84">
          <cell r="B84" t="str">
            <v>FSM</v>
          </cell>
          <cell r="C84" t="str">
            <v>GDP (current US$)</v>
          </cell>
          <cell r="D84" t="str">
            <v>NY.GDP.MKTP.CD</v>
          </cell>
          <cell r="AB84">
            <v>106500000</v>
          </cell>
          <cell r="AE84">
            <v>112210000</v>
          </cell>
          <cell r="AF84">
            <v>116700000</v>
          </cell>
          <cell r="AG84">
            <v>124700000</v>
          </cell>
          <cell r="AH84">
            <v>135200000</v>
          </cell>
          <cell r="AI84">
            <v>147200000</v>
          </cell>
          <cell r="AJ84">
            <v>166200000</v>
          </cell>
          <cell r="AK84">
            <v>178100000</v>
          </cell>
          <cell r="AL84">
            <v>198400000</v>
          </cell>
          <cell r="AM84">
            <v>202500000</v>
          </cell>
          <cell r="AN84">
            <v>221575300</v>
          </cell>
          <cell r="AO84">
            <v>218534700</v>
          </cell>
          <cell r="AP84">
            <v>206626300</v>
          </cell>
          <cell r="AQ84">
            <v>218873100</v>
          </cell>
          <cell r="AR84">
            <v>220140500</v>
          </cell>
          <cell r="AS84">
            <v>233271800</v>
          </cell>
          <cell r="AT84">
            <v>240970900</v>
          </cell>
          <cell r="AU84">
            <v>242517200</v>
          </cell>
          <cell r="AV84">
            <v>245432900</v>
          </cell>
          <cell r="AW84">
            <v>240236000</v>
          </cell>
          <cell r="AX84">
            <v>250281900</v>
          </cell>
          <cell r="AY84">
            <v>253541900</v>
          </cell>
          <cell r="AZ84">
            <v>256787199.99999997</v>
          </cell>
          <cell r="BA84">
            <v>263145100</v>
          </cell>
          <cell r="BB84">
            <v>280284600</v>
          </cell>
          <cell r="BC84">
            <v>296944100</v>
          </cell>
          <cell r="BD84">
            <v>311301600</v>
          </cell>
          <cell r="BE84">
            <v>327248700</v>
          </cell>
          <cell r="BF84">
            <v>317214400</v>
          </cell>
          <cell r="BG84">
            <v>319271200</v>
          </cell>
          <cell r="BH84">
            <v>316489900</v>
          </cell>
          <cell r="BI84">
            <v>332265200</v>
          </cell>
          <cell r="BJ84">
            <v>366666800</v>
          </cell>
          <cell r="BK84">
            <v>401932300</v>
          </cell>
          <cell r="BL84">
            <v>412000000</v>
          </cell>
          <cell r="BM84">
            <v>408000000</v>
          </cell>
        </row>
        <row r="85">
          <cell r="B85" t="str">
            <v>GAB</v>
          </cell>
          <cell r="C85" t="str">
            <v>GDP (current US$)</v>
          </cell>
          <cell r="D85" t="str">
            <v>NY.GDP.MKTP.CD</v>
          </cell>
          <cell r="E85">
            <v>141468977.57000685</v>
          </cell>
          <cell r="F85">
            <v>167637907.38172305</v>
          </cell>
          <cell r="G85">
            <v>182796536.49988413</v>
          </cell>
          <cell r="H85">
            <v>154480244.24684379</v>
          </cell>
          <cell r="I85">
            <v>215679855.27251634</v>
          </cell>
          <cell r="J85">
            <v>226474285.58710822</v>
          </cell>
          <cell r="K85">
            <v>245849781.71589851</v>
          </cell>
          <cell r="L85">
            <v>271543680.27928549</v>
          </cell>
          <cell r="M85">
            <v>294468564.53436893</v>
          </cell>
          <cell r="N85">
            <v>318124701.04894888</v>
          </cell>
          <cell r="O85">
            <v>323802475.48097664</v>
          </cell>
          <cell r="P85">
            <v>381687073.05855811</v>
          </cell>
          <cell r="Q85">
            <v>430508357.72391623</v>
          </cell>
          <cell r="R85">
            <v>722780701.12325084</v>
          </cell>
          <cell r="S85">
            <v>1544216003.9841001</v>
          </cell>
          <cell r="T85">
            <v>2157592936.607121</v>
          </cell>
          <cell r="U85">
            <v>3009409970.9051447</v>
          </cell>
          <cell r="V85">
            <v>2809349074.1773834</v>
          </cell>
          <cell r="W85">
            <v>2389479269.1887755</v>
          </cell>
          <cell r="X85">
            <v>3030251116.3599873</v>
          </cell>
          <cell r="Y85">
            <v>4279637933.8512559</v>
          </cell>
          <cell r="Z85">
            <v>3862269126.9264226</v>
          </cell>
          <cell r="AA85">
            <v>3618007844.4491944</v>
          </cell>
          <cell r="AB85">
            <v>3391275731.318337</v>
          </cell>
          <cell r="AC85">
            <v>3561451562.2356911</v>
          </cell>
          <cell r="AD85">
            <v>3339914759.3726931</v>
          </cell>
          <cell r="AE85">
            <v>3403638193.5791216</v>
          </cell>
          <cell r="AF85">
            <v>3281797038.6658998</v>
          </cell>
          <cell r="AG85">
            <v>3834503378.3552542</v>
          </cell>
          <cell r="AH85">
            <v>4186411457.4569025</v>
          </cell>
          <cell r="AI85">
            <v>5952293765.8448372</v>
          </cell>
          <cell r="AJ85">
            <v>5402919788.2315254</v>
          </cell>
          <cell r="AK85">
            <v>5592390832.668292</v>
          </cell>
          <cell r="AL85">
            <v>4378645081.0176907</v>
          </cell>
          <cell r="AM85">
            <v>4190819346.8214316</v>
          </cell>
          <cell r="AN85">
            <v>4958845649.0282278</v>
          </cell>
          <cell r="AO85">
            <v>5694039999.8652782</v>
          </cell>
          <cell r="AP85">
            <v>5326817111.3106203</v>
          </cell>
          <cell r="AQ85">
            <v>4483417313.1182308</v>
          </cell>
          <cell r="AR85">
            <v>4662992036.2072964</v>
          </cell>
          <cell r="AS85">
            <v>5080483628.3057413</v>
          </cell>
          <cell r="AT85">
            <v>5023265411.4774847</v>
          </cell>
          <cell r="AU85">
            <v>5335451103.7556906</v>
          </cell>
          <cell r="AV85">
            <v>6511903363.5388441</v>
          </cell>
          <cell r="AW85">
            <v>7770219003.9166193</v>
          </cell>
          <cell r="AX85">
            <v>9582783997.2214127</v>
          </cell>
          <cell r="AY85">
            <v>10327598308.529716</v>
          </cell>
          <cell r="AZ85">
            <v>12455409574.940777</v>
          </cell>
          <cell r="BA85">
            <v>15571348329.227859</v>
          </cell>
          <cell r="BB85">
            <v>12113699059.458052</v>
          </cell>
          <cell r="BC85">
            <v>14372593013.812424</v>
          </cell>
          <cell r="BD85">
            <v>18210307754.44265</v>
          </cell>
          <cell r="BE85">
            <v>17170464000.782419</v>
          </cell>
          <cell r="BF85">
            <v>17595744803.604061</v>
          </cell>
          <cell r="BG85">
            <v>18203966900.440376</v>
          </cell>
          <cell r="BH85">
            <v>14383107763.11825</v>
          </cell>
          <cell r="BI85">
            <v>14023890263.87505</v>
          </cell>
          <cell r="BJ85">
            <v>14929487495.759014</v>
          </cell>
          <cell r="BK85">
            <v>16867326389.869593</v>
          </cell>
          <cell r="BL85">
            <v>16874405460.196362</v>
          </cell>
          <cell r="BM85">
            <v>15314577167.819899</v>
          </cell>
        </row>
        <row r="86">
          <cell r="B86" t="str">
            <v>GBR</v>
          </cell>
          <cell r="C86" t="str">
            <v>GDP (current US$)</v>
          </cell>
          <cell r="D86" t="str">
            <v>NY.GDP.MKTP.CD</v>
          </cell>
          <cell r="E86">
            <v>73233970838.232788</v>
          </cell>
          <cell r="F86">
            <v>77741969043.147903</v>
          </cell>
          <cell r="G86">
            <v>81247567647.218536</v>
          </cell>
          <cell r="H86">
            <v>86561965531.025284</v>
          </cell>
          <cell r="I86">
            <v>94407562406.908615</v>
          </cell>
          <cell r="J86">
            <v>101824759453.38075</v>
          </cell>
          <cell r="K86">
            <v>108572756766.32822</v>
          </cell>
          <cell r="L86">
            <v>113116882129.93555</v>
          </cell>
          <cell r="M86">
            <v>107759913942.93263</v>
          </cell>
          <cell r="N86">
            <v>116464706991.2849</v>
          </cell>
          <cell r="O86">
            <v>130682295637.11859</v>
          </cell>
          <cell r="P86">
            <v>148106601857.13687</v>
          </cell>
          <cell r="Q86">
            <v>169969084028.49045</v>
          </cell>
          <cell r="R86">
            <v>192551676950.86124</v>
          </cell>
          <cell r="S86">
            <v>206152361030.54315</v>
          </cell>
          <cell r="T86">
            <v>241734621312.29465</v>
          </cell>
          <cell r="U86">
            <v>232610445456.53827</v>
          </cell>
          <cell r="V86">
            <v>263079306617.24155</v>
          </cell>
          <cell r="W86">
            <v>335880078399.84827</v>
          </cell>
          <cell r="X86">
            <v>439011580877.70288</v>
          </cell>
          <cell r="Y86">
            <v>564954276868.08875</v>
          </cell>
          <cell r="Z86">
            <v>540720761152.0498</v>
          </cell>
          <cell r="AA86">
            <v>515006780277.42358</v>
          </cell>
          <cell r="AB86">
            <v>489599764279.81616</v>
          </cell>
          <cell r="AC86">
            <v>461483005638.35284</v>
          </cell>
          <cell r="AD86">
            <v>489256281228.6673</v>
          </cell>
          <cell r="AE86">
            <v>601455004221.65271</v>
          </cell>
          <cell r="AF86">
            <v>745130338365.80042</v>
          </cell>
          <cell r="AG86">
            <v>910171030657.67993</v>
          </cell>
          <cell r="AH86">
            <v>926926143222.19043</v>
          </cell>
          <cell r="AI86">
            <v>1093213710428.0087</v>
          </cell>
          <cell r="AJ86">
            <v>1142766274398.2239</v>
          </cell>
          <cell r="AK86">
            <v>1179713014951.8296</v>
          </cell>
          <cell r="AL86">
            <v>1061457883633.5503</v>
          </cell>
          <cell r="AM86">
            <v>1140443311074.4995</v>
          </cell>
          <cell r="AN86">
            <v>1346252041210.4685</v>
          </cell>
          <cell r="AO86">
            <v>1421711933486.2144</v>
          </cell>
          <cell r="AP86">
            <v>1561715127635.2229</v>
          </cell>
          <cell r="AQ86">
            <v>1654996607708.189</v>
          </cell>
          <cell r="AR86">
            <v>1689407711357.0354</v>
          </cell>
          <cell r="AS86">
            <v>1666048767079.7632</v>
          </cell>
          <cell r="AT86">
            <v>1648765214386.9978</v>
          </cell>
          <cell r="AU86">
            <v>1785781372553.9185</v>
          </cell>
          <cell r="AV86">
            <v>2056704586736.5474</v>
          </cell>
          <cell r="AW86">
            <v>2423047347028.4521</v>
          </cell>
          <cell r="AX86">
            <v>2544813166100.5049</v>
          </cell>
          <cell r="AY86">
            <v>2709978165671.0361</v>
          </cell>
          <cell r="AZ86">
            <v>3092996468387.228</v>
          </cell>
          <cell r="BA86">
            <v>2931683721186.7466</v>
          </cell>
          <cell r="BB86">
            <v>2417565709974.4907</v>
          </cell>
          <cell r="BC86">
            <v>2491397494467.9458</v>
          </cell>
          <cell r="BD86">
            <v>2666403005061.417</v>
          </cell>
          <cell r="BE86">
            <v>2706340967030.6821</v>
          </cell>
          <cell r="BF86">
            <v>2786315215249.9458</v>
          </cell>
          <cell r="BG86">
            <v>3065223279583.7935</v>
          </cell>
          <cell r="BH86">
            <v>2934857946213.4746</v>
          </cell>
          <cell r="BI86">
            <v>2699659680997.1973</v>
          </cell>
          <cell r="BJ86">
            <v>2683488510504.0386</v>
          </cell>
          <cell r="BK86">
            <v>2878152147315.8159</v>
          </cell>
          <cell r="BL86">
            <v>2857057847953.0215</v>
          </cell>
          <cell r="BM86">
            <v>2704609160088.1504</v>
          </cell>
        </row>
        <row r="87">
          <cell r="B87" t="str">
            <v>GEO</v>
          </cell>
          <cell r="C87" t="str">
            <v>GDP (current US$)</v>
          </cell>
          <cell r="D87" t="str">
            <v>NY.GDP.MKTP.CD</v>
          </cell>
          <cell r="AI87">
            <v>7753501867.7609463</v>
          </cell>
          <cell r="AJ87">
            <v>6357615894.0397358</v>
          </cell>
          <cell r="AK87">
            <v>3690328963.640861</v>
          </cell>
          <cell r="AL87">
            <v>2701181331.3081622</v>
          </cell>
          <cell r="AM87">
            <v>2514070771.8027306</v>
          </cell>
          <cell r="AN87">
            <v>2693768412.8917928</v>
          </cell>
          <cell r="AO87">
            <v>3095047603.8083048</v>
          </cell>
          <cell r="AP87">
            <v>3510520231.2138724</v>
          </cell>
          <cell r="AQ87">
            <v>3613498183.2136045</v>
          </cell>
          <cell r="AR87">
            <v>2800026343.7363605</v>
          </cell>
          <cell r="AS87">
            <v>3057475335.1884646</v>
          </cell>
          <cell r="AT87">
            <v>3219462779.6849952</v>
          </cell>
          <cell r="AU87">
            <v>3395766677.6731529</v>
          </cell>
          <cell r="AV87">
            <v>3991377904.1316156</v>
          </cell>
          <cell r="AW87">
            <v>5125365191.9866438</v>
          </cell>
          <cell r="AX87">
            <v>6410912049.871047</v>
          </cell>
          <cell r="AY87">
            <v>7745249283.8822155</v>
          </cell>
          <cell r="AZ87">
            <v>10172933118.493038</v>
          </cell>
          <cell r="BA87">
            <v>12795147991.838758</v>
          </cell>
          <cell r="BB87">
            <v>10766919442.078922</v>
          </cell>
          <cell r="BC87">
            <v>12243219360.29846</v>
          </cell>
          <cell r="BD87">
            <v>15107482383.379772</v>
          </cell>
          <cell r="BE87">
            <v>16488819132.883541</v>
          </cell>
          <cell r="BF87">
            <v>17190068235.789219</v>
          </cell>
          <cell r="BG87">
            <v>17627336228.053581</v>
          </cell>
          <cell r="BH87">
            <v>14953675992.670391</v>
          </cell>
          <cell r="BI87">
            <v>15141598622.56916</v>
          </cell>
          <cell r="BJ87">
            <v>16242647229.739805</v>
          </cell>
          <cell r="BK87">
            <v>17596922469.915173</v>
          </cell>
          <cell r="BL87">
            <v>17470436258.513054</v>
          </cell>
          <cell r="BM87">
            <v>15842922532.720198</v>
          </cell>
        </row>
        <row r="88">
          <cell r="B88" t="str">
            <v>GHA</v>
          </cell>
          <cell r="C88" t="str">
            <v>GDP (current US$)</v>
          </cell>
          <cell r="D88" t="str">
            <v>NY.GDP.MKTP.CD</v>
          </cell>
          <cell r="E88">
            <v>1217230094.9720452</v>
          </cell>
          <cell r="F88">
            <v>1302674324.8837769</v>
          </cell>
          <cell r="G88">
            <v>1382515654.4734278</v>
          </cell>
          <cell r="H88">
            <v>1540797588.5722094</v>
          </cell>
          <cell r="I88">
            <v>1731296199.5229552</v>
          </cell>
          <cell r="J88">
            <v>2053462968.042599</v>
          </cell>
          <cell r="K88">
            <v>2126300672.2296488</v>
          </cell>
          <cell r="L88">
            <v>1747187644.9030993</v>
          </cell>
          <cell r="M88">
            <v>1666909517.6520472</v>
          </cell>
          <cell r="N88">
            <v>1962050555.777498</v>
          </cell>
          <cell r="O88">
            <v>2215028588.4564557</v>
          </cell>
          <cell r="P88">
            <v>2417108577.5273857</v>
          </cell>
          <cell r="Q88">
            <v>2112293279.9850671</v>
          </cell>
          <cell r="R88">
            <v>3006766758.4397712</v>
          </cell>
          <cell r="S88">
            <v>2894409937.8881984</v>
          </cell>
          <cell r="T88">
            <v>2810106382.9787235</v>
          </cell>
          <cell r="U88">
            <v>2765254237.2881355</v>
          </cell>
          <cell r="V88">
            <v>3189428571.4285712</v>
          </cell>
          <cell r="W88">
            <v>3662478184.9912739</v>
          </cell>
          <cell r="X88">
            <v>4020227920.2279201</v>
          </cell>
          <cell r="Y88">
            <v>4445228215.7676344</v>
          </cell>
          <cell r="Z88">
            <v>4222441614.9743247</v>
          </cell>
          <cell r="AA88">
            <v>4035994397.7591038</v>
          </cell>
          <cell r="AB88">
            <v>4057275042.8290339</v>
          </cell>
          <cell r="AC88">
            <v>4412279843.4442272</v>
          </cell>
          <cell r="AD88">
            <v>4504342149.4347095</v>
          </cell>
          <cell r="AE88">
            <v>5735921420.3876944</v>
          </cell>
          <cell r="AF88">
            <v>5074829931.9727888</v>
          </cell>
          <cell r="AG88">
            <v>5197840972.6857042</v>
          </cell>
          <cell r="AH88">
            <v>5251764269.9181242</v>
          </cell>
          <cell r="AI88">
            <v>5889174833.9003353</v>
          </cell>
          <cell r="AJ88">
            <v>6603130039.8729181</v>
          </cell>
          <cell r="AK88">
            <v>6416079341.9732914</v>
          </cell>
          <cell r="AL88">
            <v>5968905678.8909874</v>
          </cell>
          <cell r="AM88">
            <v>5446370114.5770845</v>
          </cell>
          <cell r="AN88">
            <v>6464389656.2129908</v>
          </cell>
          <cell r="AO88">
            <v>6932984635.6319971</v>
          </cell>
          <cell r="AP88">
            <v>6891433840.9091482</v>
          </cell>
          <cell r="AQ88">
            <v>7482072380.2381001</v>
          </cell>
          <cell r="AR88">
            <v>7718110780.9481468</v>
          </cell>
          <cell r="AS88">
            <v>4982849054.0291042</v>
          </cell>
          <cell r="AT88">
            <v>5314871683.5223007</v>
          </cell>
          <cell r="AU88">
            <v>6166197191.7669439</v>
          </cell>
          <cell r="AV88">
            <v>7632720680.2811918</v>
          </cell>
          <cell r="AW88">
            <v>8881419348.2170506</v>
          </cell>
          <cell r="AX88">
            <v>10744562614.747902</v>
          </cell>
          <cell r="AY88">
            <v>20885042153.019947</v>
          </cell>
          <cell r="AZ88">
            <v>24827333947.37817</v>
          </cell>
          <cell r="BA88">
            <v>28679383241.07291</v>
          </cell>
          <cell r="BB88">
            <v>26048726185.674568</v>
          </cell>
          <cell r="BC88">
            <v>32197648061.166286</v>
          </cell>
          <cell r="BD88">
            <v>39336668080.558983</v>
          </cell>
          <cell r="BE88">
            <v>41271708599.714973</v>
          </cell>
          <cell r="BF88">
            <v>62824629066.040833</v>
          </cell>
          <cell r="BG88">
            <v>54783320576.888222</v>
          </cell>
          <cell r="BH88">
            <v>49406014245.429642</v>
          </cell>
          <cell r="BI88">
            <v>56164933479.404358</v>
          </cell>
          <cell r="BJ88">
            <v>60405920071.102432</v>
          </cell>
          <cell r="BK88">
            <v>67298913752.024117</v>
          </cell>
          <cell r="BL88">
            <v>68337974418.768051</v>
          </cell>
          <cell r="BM88">
            <v>70043095503.250305</v>
          </cell>
        </row>
        <row r="89">
          <cell r="B89" t="str">
            <v>GIB</v>
          </cell>
          <cell r="C89" t="str">
            <v>GDP (current US$)</v>
          </cell>
          <cell r="D89" t="str">
            <v>NY.GDP.MKTP.CD</v>
          </cell>
        </row>
        <row r="90">
          <cell r="B90" t="str">
            <v>GIN</v>
          </cell>
          <cell r="C90" t="str">
            <v>GDP (current US$)</v>
          </cell>
          <cell r="D90" t="str">
            <v>NY.GDP.MKTP.CD</v>
          </cell>
          <cell r="AE90">
            <v>1995186720.7473328</v>
          </cell>
          <cell r="AF90">
            <v>2041538039.5772669</v>
          </cell>
          <cell r="AG90">
            <v>2384295814.8522263</v>
          </cell>
          <cell r="AH90">
            <v>2432029296.8062267</v>
          </cell>
          <cell r="AI90">
            <v>2666750820.4998727</v>
          </cell>
          <cell r="AJ90">
            <v>3015058205.5840101</v>
          </cell>
          <cell r="AK90">
            <v>3284620421.8471231</v>
          </cell>
          <cell r="AL90">
            <v>3279096491.818687</v>
          </cell>
          <cell r="AM90">
            <v>3383092769.8528538</v>
          </cell>
          <cell r="AN90">
            <v>3693710532.9119139</v>
          </cell>
          <cell r="AO90">
            <v>3868968366.1433678</v>
          </cell>
          <cell r="AP90">
            <v>3783700461.6435938</v>
          </cell>
          <cell r="AQ90">
            <v>3588375621.8256845</v>
          </cell>
          <cell r="AR90">
            <v>3461282459.96593</v>
          </cell>
          <cell r="AS90">
            <v>2995361112.0537968</v>
          </cell>
          <cell r="AT90">
            <v>2829435908.1630521</v>
          </cell>
          <cell r="AU90">
            <v>2950198723.6085849</v>
          </cell>
          <cell r="AV90">
            <v>3446441784.8225222</v>
          </cell>
          <cell r="AW90">
            <v>3635458213.6596208</v>
          </cell>
          <cell r="AX90">
            <v>2937071740.3914781</v>
          </cell>
          <cell r="AY90">
            <v>4220019242.74824</v>
          </cell>
          <cell r="AZ90">
            <v>6281917649.6670885</v>
          </cell>
          <cell r="BA90">
            <v>6964179187.5383558</v>
          </cell>
          <cell r="BB90">
            <v>6716904516.3008385</v>
          </cell>
          <cell r="BC90">
            <v>6853467832.676095</v>
          </cell>
          <cell r="BD90">
            <v>6785137215.232688</v>
          </cell>
          <cell r="BE90">
            <v>7638045225.6367617</v>
          </cell>
          <cell r="BF90">
            <v>8376613880.2574883</v>
          </cell>
          <cell r="BG90">
            <v>8778473643.019886</v>
          </cell>
          <cell r="BH90">
            <v>8794202394.7224464</v>
          </cell>
          <cell r="BI90">
            <v>8595955600.7876987</v>
          </cell>
          <cell r="BJ90">
            <v>10324668270.875994</v>
          </cell>
          <cell r="BK90">
            <v>11857030366.459799</v>
          </cell>
          <cell r="BL90">
            <v>13442861496.574669</v>
          </cell>
          <cell r="BM90">
            <v>14177835840.831108</v>
          </cell>
        </row>
        <row r="91">
          <cell r="B91" t="str">
            <v>GMB</v>
          </cell>
          <cell r="C91" t="str">
            <v>GDP (current US$)</v>
          </cell>
          <cell r="D91" t="str">
            <v>NY.GDP.MKTP.CD</v>
          </cell>
          <cell r="K91">
            <v>44212088.418829054</v>
          </cell>
          <cell r="L91">
            <v>46695008.766086794</v>
          </cell>
          <cell r="M91">
            <v>41160065.834702164</v>
          </cell>
          <cell r="N91">
            <v>45168072.245428264</v>
          </cell>
          <cell r="O91">
            <v>52296083.646539956</v>
          </cell>
          <cell r="P91">
            <v>55728655.795770898</v>
          </cell>
          <cell r="Q91">
            <v>59160575.509545609</v>
          </cell>
          <cell r="R91">
            <v>75187768.349532902</v>
          </cell>
          <cell r="S91">
            <v>95796033.655411214</v>
          </cell>
          <cell r="T91">
            <v>115179737.73617929</v>
          </cell>
          <cell r="U91">
            <v>112190822.64603266</v>
          </cell>
          <cell r="V91">
            <v>138093106.27764127</v>
          </cell>
          <cell r="W91">
            <v>171833061.57846129</v>
          </cell>
          <cell r="X91">
            <v>207112649.70294234</v>
          </cell>
          <cell r="Y91">
            <v>241083112.72876808</v>
          </cell>
          <cell r="Z91">
            <v>218767720.45075059</v>
          </cell>
          <cell r="AA91">
            <v>216050534.81498605</v>
          </cell>
          <cell r="AB91">
            <v>213448615.74872759</v>
          </cell>
          <cell r="AC91">
            <v>177340879.46261743</v>
          </cell>
          <cell r="AD91">
            <v>225726370.22735795</v>
          </cell>
          <cell r="AE91">
            <v>185646984.45879391</v>
          </cell>
          <cell r="AF91">
            <v>220626480.9380168</v>
          </cell>
          <cell r="AG91">
            <v>266672202.48043525</v>
          </cell>
          <cell r="AH91">
            <v>284120331.64737988</v>
          </cell>
          <cell r="AI91">
            <v>317083688.19987363</v>
          </cell>
          <cell r="AJ91">
            <v>690311093.17205226</v>
          </cell>
          <cell r="AK91">
            <v>714254263.1032486</v>
          </cell>
          <cell r="AL91">
            <v>755040935.02249765</v>
          </cell>
          <cell r="AM91">
            <v>746493955.00843358</v>
          </cell>
          <cell r="AN91">
            <v>785999879.72069144</v>
          </cell>
          <cell r="AO91">
            <v>848239405.56563711</v>
          </cell>
          <cell r="AP91">
            <v>803633368.73580229</v>
          </cell>
          <cell r="AQ91">
            <v>840285264.63154531</v>
          </cell>
          <cell r="AR91">
            <v>814724055.89833403</v>
          </cell>
          <cell r="AS91">
            <v>782913865.98756814</v>
          </cell>
          <cell r="AT91">
            <v>687410630.4572916</v>
          </cell>
          <cell r="AU91">
            <v>578235309.32719815</v>
          </cell>
          <cell r="AV91">
            <v>487038679.35522878</v>
          </cell>
          <cell r="AW91">
            <v>961900640.74636364</v>
          </cell>
          <cell r="AX91">
            <v>1027701055.5687122</v>
          </cell>
          <cell r="AY91">
            <v>1054112487.7408298</v>
          </cell>
          <cell r="AZ91">
            <v>1279703029.87257</v>
          </cell>
          <cell r="BA91">
            <v>1561766955.7302403</v>
          </cell>
          <cell r="BB91">
            <v>1450142497.4626157</v>
          </cell>
          <cell r="BC91">
            <v>1543294945.4571404</v>
          </cell>
          <cell r="BD91">
            <v>1409693594.0574763</v>
          </cell>
          <cell r="BE91">
            <v>1415004743.179388</v>
          </cell>
          <cell r="BF91">
            <v>1375609459.7817161</v>
          </cell>
          <cell r="BG91">
            <v>1229461731.7045789</v>
          </cell>
          <cell r="BH91">
            <v>1378176605.9370522</v>
          </cell>
          <cell r="BI91">
            <v>1484578897.1578336</v>
          </cell>
          <cell r="BJ91">
            <v>1504909447.7745907</v>
          </cell>
          <cell r="BK91">
            <v>1670671340.3796611</v>
          </cell>
          <cell r="BL91">
            <v>1813609679.153127</v>
          </cell>
          <cell r="BM91">
            <v>1812170878.3063152</v>
          </cell>
        </row>
        <row r="92">
          <cell r="B92" t="str">
            <v>GNB</v>
          </cell>
          <cell r="C92" t="str">
            <v>GDP (current US$)</v>
          </cell>
          <cell r="D92" t="str">
            <v>NY.GDP.MKTP.CD</v>
          </cell>
          <cell r="O92">
            <v>78733594.841185197</v>
          </cell>
          <cell r="P92">
            <v>78540057.137247145</v>
          </cell>
          <cell r="Q92">
            <v>87702828.565164089</v>
          </cell>
          <cell r="R92">
            <v>89374237.288135603</v>
          </cell>
          <cell r="S92">
            <v>98775328.947368428</v>
          </cell>
          <cell r="T92">
            <v>108985740.155434</v>
          </cell>
          <cell r="U92">
            <v>112386489.00567651</v>
          </cell>
          <cell r="V92">
            <v>114971207.20538434</v>
          </cell>
          <cell r="W92">
            <v>122666858.78962538</v>
          </cell>
          <cell r="X92">
            <v>118537875.13304359</v>
          </cell>
          <cell r="Y92">
            <v>110653830.72270396</v>
          </cell>
          <cell r="Z92">
            <v>154731969.69696969</v>
          </cell>
          <cell r="AA92">
            <v>165523634.5037176</v>
          </cell>
          <cell r="AB92">
            <v>163577538.32631403</v>
          </cell>
          <cell r="AC92">
            <v>138478900.62860888</v>
          </cell>
          <cell r="AD92">
            <v>143856253.12724775</v>
          </cell>
          <cell r="AE92">
            <v>130225018.75115098</v>
          </cell>
          <cell r="AF92">
            <v>173836362.01067728</v>
          </cell>
          <cell r="AG92">
            <v>164458120.31802896</v>
          </cell>
          <cell r="AH92">
            <v>213143016.44637781</v>
          </cell>
          <cell r="AI92">
            <v>243961995.51268718</v>
          </cell>
          <cell r="AJ92">
            <v>257150374.06971148</v>
          </cell>
          <cell r="AK92">
            <v>226313443.74908602</v>
          </cell>
          <cell r="AL92">
            <v>236880821.65638769</v>
          </cell>
          <cell r="AM92">
            <v>235620043.50092721</v>
          </cell>
          <cell r="AN92">
            <v>253966922.27819756</v>
          </cell>
          <cell r="AO92">
            <v>270419779.41810745</v>
          </cell>
          <cell r="AP92">
            <v>268551010.93962342</v>
          </cell>
          <cell r="AQ92">
            <v>206457553.39803424</v>
          </cell>
          <cell r="AR92">
            <v>224446663.80054802</v>
          </cell>
          <cell r="AS92">
            <v>371095522.04925436</v>
          </cell>
          <cell r="AT92">
            <v>392621389.50761127</v>
          </cell>
          <cell r="AU92">
            <v>417806651.11985576</v>
          </cell>
          <cell r="AV92">
            <v>477458577.16163516</v>
          </cell>
          <cell r="AW92">
            <v>532062894.80153257</v>
          </cell>
          <cell r="AX92">
            <v>587029096.0291127</v>
          </cell>
          <cell r="AY92">
            <v>592365659.8240068</v>
          </cell>
          <cell r="AZ92">
            <v>696910784.01630175</v>
          </cell>
          <cell r="BA92">
            <v>868154627.86980569</v>
          </cell>
          <cell r="BB92">
            <v>830126428.78613353</v>
          </cell>
          <cell r="BC92">
            <v>849878489.11336434</v>
          </cell>
          <cell r="BD92">
            <v>1099818591.9572704</v>
          </cell>
          <cell r="BE92">
            <v>989271155.12690508</v>
          </cell>
          <cell r="BF92">
            <v>1046087367.449733</v>
          </cell>
          <cell r="BG92">
            <v>1054915581.3677446</v>
          </cell>
          <cell r="BH92">
            <v>1048229632.9972631</v>
          </cell>
          <cell r="BI92">
            <v>1179004911.2607493</v>
          </cell>
          <cell r="BJ92">
            <v>1350177012.2477086</v>
          </cell>
          <cell r="BK92">
            <v>1504630233.686389</v>
          </cell>
          <cell r="BL92">
            <v>1439638410.9959269</v>
          </cell>
          <cell r="BM92">
            <v>1431758231.6828716</v>
          </cell>
        </row>
        <row r="93">
          <cell r="B93" t="str">
            <v>GNQ</v>
          </cell>
          <cell r="C93" t="str">
            <v>GDP (current US$)</v>
          </cell>
          <cell r="D93" t="str">
            <v>NY.GDP.MKTP.CD</v>
          </cell>
          <cell r="G93">
            <v>9122751.4531834535</v>
          </cell>
          <cell r="H93">
            <v>10840095.12836493</v>
          </cell>
          <cell r="I93">
            <v>12712471.396021094</v>
          </cell>
          <cell r="J93">
            <v>64748333.333333336</v>
          </cell>
          <cell r="K93">
            <v>69110000.000000015</v>
          </cell>
          <cell r="L93">
            <v>72317446.932719275</v>
          </cell>
          <cell r="M93">
            <v>67514285.714285716</v>
          </cell>
          <cell r="N93">
            <v>67225714.285714284</v>
          </cell>
          <cell r="O93">
            <v>66331428.571428575</v>
          </cell>
          <cell r="P93">
            <v>64946954.756797999</v>
          </cell>
          <cell r="Q93">
            <v>65429198.238707967</v>
          </cell>
          <cell r="R93">
            <v>81203226.913834542</v>
          </cell>
          <cell r="S93">
            <v>94159862.707369089</v>
          </cell>
          <cell r="T93">
            <v>104295643.38843696</v>
          </cell>
          <cell r="U93">
            <v>103653049.93796989</v>
          </cell>
          <cell r="V93">
            <v>103987520.07582739</v>
          </cell>
          <cell r="Y93">
            <v>50642880.773750342</v>
          </cell>
          <cell r="Z93">
            <v>36731422.845691383</v>
          </cell>
          <cell r="AA93">
            <v>44294647.733478971</v>
          </cell>
          <cell r="AB93">
            <v>44442456.947639965</v>
          </cell>
          <cell r="AC93">
            <v>50320914.406568803</v>
          </cell>
          <cell r="AD93">
            <v>62118570.005323499</v>
          </cell>
          <cell r="AE93">
            <v>76407395.971048847</v>
          </cell>
          <cell r="AF93">
            <v>93345859.405032024</v>
          </cell>
          <cell r="AG93">
            <v>100534656.94269861</v>
          </cell>
          <cell r="AH93">
            <v>88265974.726051763</v>
          </cell>
          <cell r="AI93">
            <v>112119411.50874577</v>
          </cell>
          <cell r="AJ93">
            <v>110906028.61202176</v>
          </cell>
          <cell r="AK93">
            <v>134707183.97355574</v>
          </cell>
          <cell r="AL93">
            <v>136047906.00517026</v>
          </cell>
          <cell r="AM93">
            <v>100807002.6027088</v>
          </cell>
          <cell r="AN93">
            <v>141853360.89590216</v>
          </cell>
          <cell r="AO93">
            <v>232463022.67912227</v>
          </cell>
          <cell r="AP93">
            <v>442337870.4265461</v>
          </cell>
          <cell r="AQ93">
            <v>370687634.69757283</v>
          </cell>
          <cell r="AR93">
            <v>621117885.66850269</v>
          </cell>
          <cell r="AS93">
            <v>1045998496.4387157</v>
          </cell>
          <cell r="AT93">
            <v>1461139022.0295386</v>
          </cell>
          <cell r="AU93">
            <v>1806742742.2731116</v>
          </cell>
          <cell r="AV93">
            <v>2484745935.0932889</v>
          </cell>
          <cell r="AW93">
            <v>4410764338.667325</v>
          </cell>
          <cell r="AX93">
            <v>8217369092.6522379</v>
          </cell>
          <cell r="AY93">
            <v>10086528698.86043</v>
          </cell>
          <cell r="AZ93">
            <v>13071718758.737305</v>
          </cell>
          <cell r="BA93">
            <v>19749893536.320362</v>
          </cell>
          <cell r="BB93">
            <v>15027795173.218706</v>
          </cell>
          <cell r="BC93">
            <v>16314443428.939247</v>
          </cell>
          <cell r="BD93">
            <v>21357343681.894913</v>
          </cell>
          <cell r="BE93">
            <v>22388344123.993763</v>
          </cell>
          <cell r="BF93">
            <v>21948834290.352131</v>
          </cell>
          <cell r="BG93">
            <v>21765453087.479008</v>
          </cell>
          <cell r="BH93">
            <v>13185496881.405239</v>
          </cell>
          <cell r="BI93">
            <v>11240808846.692385</v>
          </cell>
          <cell r="BJ93">
            <v>12200913887.642757</v>
          </cell>
          <cell r="BK93">
            <v>13097012124.226074</v>
          </cell>
          <cell r="BL93">
            <v>11364133546.249392</v>
          </cell>
          <cell r="BM93">
            <v>10099157995.578859</v>
          </cell>
        </row>
        <row r="94">
          <cell r="B94" t="str">
            <v>GRC</v>
          </cell>
          <cell r="C94" t="str">
            <v>GDP (current US$)</v>
          </cell>
          <cell r="D94" t="str">
            <v>NY.GDP.MKTP.CD</v>
          </cell>
          <cell r="E94">
            <v>4335186016.8394222</v>
          </cell>
          <cell r="F94">
            <v>4961400439.3172178</v>
          </cell>
          <cell r="G94">
            <v>5213047711.4270449</v>
          </cell>
          <cell r="H94">
            <v>5895278024.092021</v>
          </cell>
          <cell r="I94">
            <v>6669673257.1182985</v>
          </cell>
          <cell r="J94">
            <v>7689154053.3586626</v>
          </cell>
          <cell r="K94">
            <v>8591517943.6012897</v>
          </cell>
          <cell r="L94">
            <v>9275600800.3564434</v>
          </cell>
          <cell r="M94">
            <v>10090675902.536438</v>
          </cell>
          <cell r="N94">
            <v>11615657031.238716</v>
          </cell>
          <cell r="O94">
            <v>13139863636.363638</v>
          </cell>
          <cell r="P94">
            <v>14591750000</v>
          </cell>
          <cell r="Q94">
            <v>16885511363.636364</v>
          </cell>
          <cell r="R94">
            <v>22347848101.265823</v>
          </cell>
          <cell r="S94">
            <v>25351306818.18182</v>
          </cell>
          <cell r="T94">
            <v>28525876726.886292</v>
          </cell>
          <cell r="U94">
            <v>31152835820.895523</v>
          </cell>
          <cell r="V94">
            <v>36176234967.622574</v>
          </cell>
          <cell r="W94">
            <v>44270204081.632652</v>
          </cell>
          <cell r="X94">
            <v>54481876724.931</v>
          </cell>
          <cell r="Y94">
            <v>56829664268.585136</v>
          </cell>
          <cell r="Z94">
            <v>52346506765.06765</v>
          </cell>
          <cell r="AA94">
            <v>54617989795.918365</v>
          </cell>
          <cell r="AB94">
            <v>49428873839.009285</v>
          </cell>
          <cell r="AC94">
            <v>48020024183.79686</v>
          </cell>
          <cell r="AD94">
            <v>47820851221.317543</v>
          </cell>
          <cell r="AE94">
            <v>56379593476.144112</v>
          </cell>
          <cell r="AF94">
            <v>65652750377.453453</v>
          </cell>
          <cell r="AG94">
            <v>76261277924.573624</v>
          </cell>
          <cell r="AH94">
            <v>79169043222.828369</v>
          </cell>
          <cell r="AI94">
            <v>97891092003.439377</v>
          </cell>
          <cell r="AJ94">
            <v>105143232379.88408</v>
          </cell>
          <cell r="AK94">
            <v>116224672863.78262</v>
          </cell>
          <cell r="AL94">
            <v>108809059155.76695</v>
          </cell>
          <cell r="AM94">
            <v>116601801966.29214</v>
          </cell>
          <cell r="AN94">
            <v>136878365936.1671</v>
          </cell>
          <cell r="AO94">
            <v>145861612400.90601</v>
          </cell>
          <cell r="AP94">
            <v>143157600149.75665</v>
          </cell>
          <cell r="AQ94">
            <v>144428172489.33472</v>
          </cell>
          <cell r="AR94">
            <v>142588875293.74857</v>
          </cell>
          <cell r="AS94">
            <v>130457756628.43636</v>
          </cell>
          <cell r="AT94">
            <v>136309295225.33954</v>
          </cell>
          <cell r="AU94">
            <v>154564203586.95401</v>
          </cell>
          <cell r="AV94">
            <v>202370140236.26508</v>
          </cell>
          <cell r="AW94">
            <v>240963562236.12726</v>
          </cell>
          <cell r="AX94">
            <v>247875422204.41388</v>
          </cell>
          <cell r="AY94">
            <v>273546728473.07257</v>
          </cell>
          <cell r="AZ94">
            <v>318902829550.73315</v>
          </cell>
          <cell r="BA94">
            <v>355908689477.44525</v>
          </cell>
          <cell r="BB94">
            <v>331308500253.27441</v>
          </cell>
          <cell r="BC94">
            <v>297124961971.50763</v>
          </cell>
          <cell r="BD94">
            <v>282995942006.55896</v>
          </cell>
          <cell r="BE94">
            <v>242029307133.40787</v>
          </cell>
          <cell r="BF94">
            <v>238907690051.13199</v>
          </cell>
          <cell r="BG94">
            <v>235458133124.60403</v>
          </cell>
          <cell r="BH94">
            <v>195683527003.37451</v>
          </cell>
          <cell r="BI94">
            <v>193148146586.93811</v>
          </cell>
          <cell r="BJ94">
            <v>199844406013.53275</v>
          </cell>
          <cell r="BK94">
            <v>212049447242.10745</v>
          </cell>
          <cell r="BL94">
            <v>205257014892.49796</v>
          </cell>
          <cell r="BM94">
            <v>188925995936.8035</v>
          </cell>
        </row>
        <row r="95">
          <cell r="B95" t="str">
            <v>GRD</v>
          </cell>
          <cell r="C95" t="str">
            <v>GDP (current US$)</v>
          </cell>
          <cell r="D95" t="str">
            <v>NY.GDP.MKTP.CD</v>
          </cell>
          <cell r="V95">
            <v>71494495.185185179</v>
          </cell>
          <cell r="W95">
            <v>88322386.296296284</v>
          </cell>
          <cell r="X95">
            <v>102244362.22222221</v>
          </cell>
          <cell r="Y95">
            <v>110900457.03703703</v>
          </cell>
          <cell r="Z95">
            <v>115651918.88888888</v>
          </cell>
          <cell r="AA95">
            <v>125435589.99999999</v>
          </cell>
          <cell r="AB95">
            <v>131803552.22222221</v>
          </cell>
          <cell r="AC95">
            <v>145533310.74074072</v>
          </cell>
          <cell r="AD95">
            <v>167728455.18518516</v>
          </cell>
          <cell r="AE95">
            <v>187589522.59259257</v>
          </cell>
          <cell r="AF95">
            <v>215009569.62962961</v>
          </cell>
          <cell r="AG95">
            <v>236357523.7037037</v>
          </cell>
          <cell r="AH95">
            <v>267327642.22222221</v>
          </cell>
          <cell r="AI95">
            <v>278098762.96296293</v>
          </cell>
          <cell r="AJ95">
            <v>300757888.8888889</v>
          </cell>
          <cell r="AK95">
            <v>310160444.44444442</v>
          </cell>
          <cell r="AL95">
            <v>309812185.18518519</v>
          </cell>
          <cell r="AM95">
            <v>325111814.81481481</v>
          </cell>
          <cell r="AN95">
            <v>342172518.51851851</v>
          </cell>
          <cell r="AO95">
            <v>366911444.44444442</v>
          </cell>
          <cell r="AP95">
            <v>392190592.5925926</v>
          </cell>
          <cell r="AQ95">
            <v>445903592.59259254</v>
          </cell>
          <cell r="AR95">
            <v>482009370.37037033</v>
          </cell>
          <cell r="AS95">
            <v>520044370.37037033</v>
          </cell>
          <cell r="AT95">
            <v>520444185.18518513</v>
          </cell>
          <cell r="AU95">
            <v>540336925.92592585</v>
          </cell>
          <cell r="AV95">
            <v>591018407.4074074</v>
          </cell>
          <cell r="AW95">
            <v>599118592.5925926</v>
          </cell>
          <cell r="AX95">
            <v>695555555.55555546</v>
          </cell>
          <cell r="AY95">
            <v>698700666.66666663</v>
          </cell>
          <cell r="AZ95">
            <v>758683592.5925926</v>
          </cell>
          <cell r="BA95">
            <v>825976037.03703701</v>
          </cell>
          <cell r="BB95">
            <v>771275555.55555546</v>
          </cell>
          <cell r="BC95">
            <v>771014814.81481469</v>
          </cell>
          <cell r="BD95">
            <v>778655555.55555546</v>
          </cell>
          <cell r="BE95">
            <v>799881481.48148143</v>
          </cell>
          <cell r="BF95">
            <v>842618518.51851845</v>
          </cell>
          <cell r="BG95">
            <v>911496296.29629624</v>
          </cell>
          <cell r="BH95">
            <v>997007407.40740728</v>
          </cell>
          <cell r="BI95">
            <v>1061640740.7407407</v>
          </cell>
          <cell r="BJ95">
            <v>1125685185.1851852</v>
          </cell>
          <cell r="BK95">
            <v>1166514814.8148148</v>
          </cell>
          <cell r="BL95">
            <v>1213485185.1851852</v>
          </cell>
          <cell r="BM95">
            <v>1043411111.111111</v>
          </cell>
        </row>
        <row r="96">
          <cell r="B96" t="str">
            <v>GRL</v>
          </cell>
          <cell r="C96" t="str">
            <v>GDP (current US$)</v>
          </cell>
          <cell r="D96" t="str">
            <v>NY.GDP.MKTP.CD</v>
          </cell>
          <cell r="O96">
            <v>69520026.606415987</v>
          </cell>
          <cell r="P96">
            <v>88571004.74406901</v>
          </cell>
          <cell r="Q96">
            <v>106101302.90585026</v>
          </cell>
          <cell r="R96">
            <v>140153748.26682433</v>
          </cell>
          <cell r="S96">
            <v>169918948.65706062</v>
          </cell>
          <cell r="T96">
            <v>211192468.037067</v>
          </cell>
          <cell r="U96">
            <v>240779417.82553083</v>
          </cell>
          <cell r="V96">
            <v>282269764.88044864</v>
          </cell>
          <cell r="W96">
            <v>355987433.48024344</v>
          </cell>
          <cell r="X96">
            <v>420645794.96840352</v>
          </cell>
          <cell r="Y96">
            <v>476051769.01394176</v>
          </cell>
          <cell r="Z96">
            <v>435749013.87018508</v>
          </cell>
          <cell r="AA96">
            <v>402403057.15125924</v>
          </cell>
          <cell r="AB96">
            <v>416184086.23097003</v>
          </cell>
          <cell r="AC96">
            <v>379371913.71595752</v>
          </cell>
          <cell r="AD96">
            <v>412876395.82686925</v>
          </cell>
          <cell r="AE96">
            <v>603016317.53630292</v>
          </cell>
          <cell r="AF96">
            <v>787390447.32334483</v>
          </cell>
          <cell r="AG96">
            <v>898607670.62441266</v>
          </cell>
          <cell r="AH96">
            <v>929799902.19112396</v>
          </cell>
          <cell r="AI96">
            <v>1018977225.444268</v>
          </cell>
          <cell r="AJ96">
            <v>1016500016.2850541</v>
          </cell>
          <cell r="AK96">
            <v>1037916105.2329311</v>
          </cell>
          <cell r="AL96">
            <v>927214127.93431723</v>
          </cell>
          <cell r="AM96">
            <v>1005887592.0353863</v>
          </cell>
          <cell r="AN96">
            <v>1208953358.9970896</v>
          </cell>
          <cell r="AO96">
            <v>1197515637.9205232</v>
          </cell>
          <cell r="AP96">
            <v>1072154406.7890489</v>
          </cell>
          <cell r="AQ96">
            <v>1149858126.9574695</v>
          </cell>
          <cell r="AR96">
            <v>1131555107.0490694</v>
          </cell>
          <cell r="AS96">
            <v>1068024993.9869722</v>
          </cell>
          <cell r="AT96">
            <v>1086170638.7290123</v>
          </cell>
          <cell r="AU96">
            <v>1169136691.3537185</v>
          </cell>
          <cell r="AV96">
            <v>1558759744.2091348</v>
          </cell>
          <cell r="AW96">
            <v>1822499870.6405149</v>
          </cell>
          <cell r="AX96">
            <v>1849802648.3639076</v>
          </cell>
          <cell r="AY96">
            <v>2013106816.6601143</v>
          </cell>
          <cell r="AZ96">
            <v>2249811364.541985</v>
          </cell>
          <cell r="BA96">
            <v>2499092396.1183829</v>
          </cell>
          <cell r="BB96">
            <v>2529964060.5374737</v>
          </cell>
          <cell r="BC96">
            <v>2503167187.4930544</v>
          </cell>
          <cell r="BD96">
            <v>2684461607.9311323</v>
          </cell>
          <cell r="BE96">
            <v>2609678694.9447937</v>
          </cell>
          <cell r="BF96">
            <v>2684947140.151804</v>
          </cell>
          <cell r="BG96">
            <v>2842065877.1544285</v>
          </cell>
          <cell r="BH96">
            <v>2499113085.4825468</v>
          </cell>
          <cell r="BI96">
            <v>2707146783.1305614</v>
          </cell>
          <cell r="BJ96">
            <v>2851610655.923912</v>
          </cell>
          <cell r="BK96">
            <v>3055791340.7024989</v>
          </cell>
          <cell r="BL96">
            <v>2997331094.2513566</v>
          </cell>
          <cell r="BM96">
            <v>3082909157.609942</v>
          </cell>
        </row>
        <row r="97">
          <cell r="B97" t="str">
            <v>GTM</v>
          </cell>
          <cell r="C97" t="str">
            <v>GDP (current US$)</v>
          </cell>
          <cell r="D97" t="str">
            <v>NY.GDP.MKTP.CD</v>
          </cell>
          <cell r="E97">
            <v>1043599899.9999999</v>
          </cell>
          <cell r="F97">
            <v>1076699900</v>
          </cell>
          <cell r="G97">
            <v>1143600000</v>
          </cell>
          <cell r="H97">
            <v>1262800000</v>
          </cell>
          <cell r="I97">
            <v>1299099900</v>
          </cell>
          <cell r="J97">
            <v>1331399900</v>
          </cell>
          <cell r="K97">
            <v>1390700000</v>
          </cell>
          <cell r="L97">
            <v>1453500000</v>
          </cell>
          <cell r="M97">
            <v>1610500000</v>
          </cell>
          <cell r="N97">
            <v>1715399900</v>
          </cell>
          <cell r="O97">
            <v>1904000000</v>
          </cell>
          <cell r="P97">
            <v>1984800000.1653993</v>
          </cell>
          <cell r="Q97">
            <v>2101300000.0000002</v>
          </cell>
          <cell r="R97">
            <v>2569200100.2140994</v>
          </cell>
          <cell r="S97">
            <v>3161499901.58075</v>
          </cell>
          <cell r="T97">
            <v>3645900003.6458998</v>
          </cell>
          <cell r="U97">
            <v>4365300204.3653002</v>
          </cell>
          <cell r="V97">
            <v>5480500205.4805002</v>
          </cell>
          <cell r="W97">
            <v>6070600206.0706005</v>
          </cell>
          <cell r="X97">
            <v>6902600206.9026003</v>
          </cell>
          <cell r="Y97">
            <v>7878700007.8787003</v>
          </cell>
          <cell r="Z97">
            <v>8607500308.6075001</v>
          </cell>
          <cell r="AA97">
            <v>8716999708.7169991</v>
          </cell>
          <cell r="AB97">
            <v>9050000409.0499992</v>
          </cell>
          <cell r="AC97">
            <v>9470000103.945837</v>
          </cell>
          <cell r="AD97">
            <v>9721652086.956522</v>
          </cell>
          <cell r="AE97">
            <v>7231963515.9817352</v>
          </cell>
          <cell r="AF97">
            <v>7084399840</v>
          </cell>
          <cell r="AG97">
            <v>7841602824.4274807</v>
          </cell>
          <cell r="AH97">
            <v>8410724360.795455</v>
          </cell>
          <cell r="AI97">
            <v>7650196276.7350798</v>
          </cell>
          <cell r="AJ97">
            <v>9406135143.4116535</v>
          </cell>
          <cell r="AK97">
            <v>10440781587.543491</v>
          </cell>
          <cell r="AL97">
            <v>11400018312.93018</v>
          </cell>
          <cell r="AM97">
            <v>12983233686.993782</v>
          </cell>
          <cell r="AN97">
            <v>14655404433.277115</v>
          </cell>
          <cell r="AO97">
            <v>15674835615.313896</v>
          </cell>
          <cell r="AP97">
            <v>17790026221.613865</v>
          </cell>
          <cell r="AQ97">
            <v>19395491992.99387</v>
          </cell>
          <cell r="AR97">
            <v>18318412251.364197</v>
          </cell>
          <cell r="AS97">
            <v>19288928615.93824</v>
          </cell>
          <cell r="AT97">
            <v>18405221418.466473</v>
          </cell>
          <cell r="AU97">
            <v>20444205991.024971</v>
          </cell>
          <cell r="AV97">
            <v>21576351798.914482</v>
          </cell>
          <cell r="AW97">
            <v>23577298589.15802</v>
          </cell>
          <cell r="AX97">
            <v>26783388709.178608</v>
          </cell>
          <cell r="AY97">
            <v>29744247479.244316</v>
          </cell>
          <cell r="AZ97">
            <v>33567850094.99926</v>
          </cell>
          <cell r="BA97">
            <v>38503718526.628113</v>
          </cell>
          <cell r="BB97">
            <v>37126146369.26078</v>
          </cell>
          <cell r="BC97">
            <v>40676579264.840111</v>
          </cell>
          <cell r="BD97">
            <v>46876004265.238602</v>
          </cell>
          <cell r="BE97">
            <v>49593926849.242928</v>
          </cell>
          <cell r="BF97">
            <v>52996447955.763237</v>
          </cell>
          <cell r="BG97">
            <v>57852150564.519981</v>
          </cell>
          <cell r="BH97">
            <v>62186064718.742386</v>
          </cell>
          <cell r="BI97">
            <v>66053402744.7267</v>
          </cell>
          <cell r="BJ97">
            <v>71653756504.162476</v>
          </cell>
          <cell r="BK97">
            <v>73328369925.847839</v>
          </cell>
          <cell r="BL97">
            <v>77172313916.421768</v>
          </cell>
          <cell r="BM97">
            <v>77715183063.205399</v>
          </cell>
        </row>
        <row r="98">
          <cell r="B98" t="str">
            <v>GUM</v>
          </cell>
          <cell r="C98" t="str">
            <v>GDP (current US$)</v>
          </cell>
          <cell r="D98" t="str">
            <v>NY.GDP.MKTP.CD</v>
          </cell>
          <cell r="AU98">
            <v>3394000000</v>
          </cell>
          <cell r="AV98">
            <v>3569000000</v>
          </cell>
          <cell r="AW98">
            <v>3869000000</v>
          </cell>
          <cell r="AX98">
            <v>4213000000</v>
          </cell>
          <cell r="AY98">
            <v>4238000000</v>
          </cell>
          <cell r="AZ98">
            <v>4397000000</v>
          </cell>
          <cell r="BA98">
            <v>4658000000</v>
          </cell>
          <cell r="BB98">
            <v>4828000000</v>
          </cell>
          <cell r="BC98">
            <v>4949000000</v>
          </cell>
          <cell r="BD98">
            <v>4984000000</v>
          </cell>
          <cell r="BE98">
            <v>5265000000</v>
          </cell>
          <cell r="BF98">
            <v>5399000000</v>
          </cell>
          <cell r="BG98">
            <v>5610000000</v>
          </cell>
          <cell r="BH98">
            <v>5799000000</v>
          </cell>
          <cell r="BI98">
            <v>5901000000</v>
          </cell>
          <cell r="BJ98">
            <v>6013000000</v>
          </cell>
          <cell r="BK98">
            <v>6056000000</v>
          </cell>
          <cell r="BL98">
            <v>6366000000</v>
          </cell>
          <cell r="BM98">
            <v>5886000000</v>
          </cell>
        </row>
        <row r="99">
          <cell r="B99" t="str">
            <v>GUY</v>
          </cell>
          <cell r="C99" t="str">
            <v>GDP (current US$)</v>
          </cell>
          <cell r="D99" t="str">
            <v>NY.GDP.MKTP.CD</v>
          </cell>
          <cell r="E99">
            <v>170216241.05514017</v>
          </cell>
          <cell r="F99">
            <v>185849535.29872397</v>
          </cell>
          <cell r="G99">
            <v>194949512.54498917</v>
          </cell>
          <cell r="H99">
            <v>175757893.86536577</v>
          </cell>
          <cell r="I99">
            <v>194774512.98256099</v>
          </cell>
          <cell r="J99">
            <v>213235294.11764705</v>
          </cell>
          <cell r="K99">
            <v>228705882.35294119</v>
          </cell>
          <cell r="L99">
            <v>250176470.58823529</v>
          </cell>
          <cell r="M99">
            <v>229749999.88512498</v>
          </cell>
          <cell r="N99">
            <v>249299999.87535</v>
          </cell>
          <cell r="O99">
            <v>267799999.86609998</v>
          </cell>
          <cell r="P99">
            <v>282050000</v>
          </cell>
          <cell r="Q99">
            <v>285380952.38095236</v>
          </cell>
          <cell r="R99">
            <v>307047619.04761904</v>
          </cell>
          <cell r="S99">
            <v>433954545.45454544</v>
          </cell>
          <cell r="T99">
            <v>494791666.66666669</v>
          </cell>
          <cell r="U99">
            <v>454440000</v>
          </cell>
          <cell r="V99">
            <v>449880000</v>
          </cell>
          <cell r="W99">
            <v>507080000</v>
          </cell>
          <cell r="X99">
            <v>530440000</v>
          </cell>
          <cell r="Y99">
            <v>603200000</v>
          </cell>
          <cell r="Z99">
            <v>570357107.14285719</v>
          </cell>
          <cell r="AA99">
            <v>482000000.1606667</v>
          </cell>
          <cell r="AB99">
            <v>489333333.49644446</v>
          </cell>
          <cell r="AC99">
            <v>437631605.2631579</v>
          </cell>
          <cell r="AD99">
            <v>453488372.0930233</v>
          </cell>
          <cell r="AE99">
            <v>504651139.53488374</v>
          </cell>
          <cell r="AF99">
            <v>354591846.93877548</v>
          </cell>
          <cell r="AG99">
            <v>413799990</v>
          </cell>
          <cell r="AH99">
            <v>379779389.70588237</v>
          </cell>
          <cell r="AI99">
            <v>396582263.29113925</v>
          </cell>
          <cell r="AJ99">
            <v>348533094.8121646</v>
          </cell>
          <cell r="AK99">
            <v>373573141.48681056</v>
          </cell>
          <cell r="AL99">
            <v>454101382.48847932</v>
          </cell>
          <cell r="AM99">
            <v>540874934.20101225</v>
          </cell>
          <cell r="AN99">
            <v>621626785.91549301</v>
          </cell>
          <cell r="AO99">
            <v>705406001.42450142</v>
          </cell>
          <cell r="AP99">
            <v>749138009.56453955</v>
          </cell>
          <cell r="AQ99">
            <v>717530683.16956663</v>
          </cell>
          <cell r="AR99">
            <v>694754988.25829506</v>
          </cell>
          <cell r="AS99">
            <v>712667896.72751188</v>
          </cell>
          <cell r="AT99">
            <v>712167448.89561248</v>
          </cell>
          <cell r="AU99">
            <v>726131434.71533847</v>
          </cell>
          <cell r="AV99">
            <v>743063949.04020691</v>
          </cell>
          <cell r="AW99">
            <v>787814379.18384326</v>
          </cell>
          <cell r="AX99">
            <v>824880550.34396493</v>
          </cell>
          <cell r="AY99">
            <v>2379817986.7291675</v>
          </cell>
          <cell r="AZ99">
            <v>2730971599.8945656</v>
          </cell>
          <cell r="BA99">
            <v>3025187428.3843555</v>
          </cell>
          <cell r="BB99">
            <v>3165663152.7335134</v>
          </cell>
          <cell r="BC99">
            <v>3432912511.3049083</v>
          </cell>
          <cell r="BD99">
            <v>3691384317.521781</v>
          </cell>
          <cell r="BE99">
            <v>4063088529.1359196</v>
          </cell>
          <cell r="BF99">
            <v>4167800935.5994301</v>
          </cell>
          <cell r="BG99">
            <v>4127660158.4732251</v>
          </cell>
          <cell r="BH99">
            <v>4279840193.7046003</v>
          </cell>
          <cell r="BI99">
            <v>4482697336.5617437</v>
          </cell>
          <cell r="BJ99">
            <v>4748174334.1404362</v>
          </cell>
          <cell r="BK99">
            <v>4787637005.5363798</v>
          </cell>
          <cell r="BL99">
            <v>5173760191.8465223</v>
          </cell>
          <cell r="BM99">
            <v>5471256594.7242203</v>
          </cell>
        </row>
        <row r="100">
          <cell r="B100" t="str">
            <v>HIC</v>
          </cell>
          <cell r="C100" t="str">
            <v>GDP (current US$)</v>
          </cell>
          <cell r="D100" t="str">
            <v>NY.GDP.MKTP.CD</v>
          </cell>
          <cell r="E100">
            <v>1070309605652.2214</v>
          </cell>
          <cell r="F100">
            <v>1133274574092.2439</v>
          </cell>
          <cell r="G100">
            <v>1222979975247.0496</v>
          </cell>
          <cell r="H100">
            <v>1316949086916.0125</v>
          </cell>
          <cell r="I100">
            <v>1437552390659.3796</v>
          </cell>
          <cell r="J100">
            <v>1561240421783.5078</v>
          </cell>
          <cell r="K100">
            <v>1712677609757.2839</v>
          </cell>
          <cell r="L100">
            <v>1837383236127.4944</v>
          </cell>
          <cell r="M100">
            <v>1991818708681.2866</v>
          </cell>
          <cell r="N100">
            <v>2191316414060.5129</v>
          </cell>
          <cell r="O100">
            <v>2394458719134.2974</v>
          </cell>
          <cell r="P100">
            <v>2658213530866.9385</v>
          </cell>
          <cell r="Q100">
            <v>3083424652587.8179</v>
          </cell>
          <cell r="R100">
            <v>3730782775772.6919</v>
          </cell>
          <cell r="S100">
            <v>4206610118501.2085</v>
          </cell>
          <cell r="T100">
            <v>4693794271015.3203</v>
          </cell>
          <cell r="U100">
            <v>5114713213062.7021</v>
          </cell>
          <cell r="V100">
            <v>5792021836211.4609</v>
          </cell>
          <cell r="W100">
            <v>6940227758015.9688</v>
          </cell>
          <cell r="X100">
            <v>8024291970995.5039</v>
          </cell>
          <cell r="Y100">
            <v>8962568770036.1172</v>
          </cell>
          <cell r="Z100">
            <v>9098573566488.123</v>
          </cell>
          <cell r="AA100">
            <v>9014070180686.3867</v>
          </cell>
          <cell r="AB100">
            <v>9307274823050.0254</v>
          </cell>
          <cell r="AC100">
            <v>9708510805998.4648</v>
          </cell>
          <cell r="AD100">
            <v>10194067191689.467</v>
          </cell>
          <cell r="AE100">
            <v>12377564712374.389</v>
          </cell>
          <cell r="AF100">
            <v>14345410483598.266</v>
          </cell>
          <cell r="AG100">
            <v>16151219796861.893</v>
          </cell>
          <cell r="AH100">
            <v>16899764444681.35</v>
          </cell>
          <cell r="AI100">
            <v>18985012664862.016</v>
          </cell>
          <cell r="AJ100">
            <v>20077019486047.465</v>
          </cell>
          <cell r="AK100">
            <v>21595262628678.434</v>
          </cell>
          <cell r="AL100">
            <v>21761907547794.16</v>
          </cell>
          <cell r="AM100">
            <v>23425703507936.457</v>
          </cell>
          <cell r="AN100">
            <v>26016528623343.18</v>
          </cell>
          <cell r="AO100">
            <v>26240641324883.527</v>
          </cell>
          <cell r="AP100">
            <v>25791737299604.707</v>
          </cell>
          <cell r="AQ100">
            <v>25888469871146.719</v>
          </cell>
          <cell r="AR100">
            <v>27194827316557.098</v>
          </cell>
          <cell r="AS100">
            <v>27764050359632.164</v>
          </cell>
          <cell r="AT100">
            <v>27489066409393.734</v>
          </cell>
          <cell r="AU100">
            <v>28660868665486.438</v>
          </cell>
          <cell r="AV100">
            <v>32125480719417.441</v>
          </cell>
          <cell r="AW100">
            <v>35771600781058.953</v>
          </cell>
          <cell r="AX100">
            <v>37831114602373.82</v>
          </cell>
          <cell r="AY100">
            <v>39962463041148.664</v>
          </cell>
          <cell r="AZ100">
            <v>43756102613971.781</v>
          </cell>
          <cell r="BA100">
            <v>46623911291791.328</v>
          </cell>
          <cell r="BB100">
            <v>43669352938355.023</v>
          </cell>
          <cell r="BC100">
            <v>45759844719262.031</v>
          </cell>
          <cell r="BD100">
            <v>49412507535114.781</v>
          </cell>
          <cell r="BE100">
            <v>49446148147435.969</v>
          </cell>
          <cell r="BF100">
            <v>50054025962686.727</v>
          </cell>
          <cell r="BG100">
            <v>51134057169125.445</v>
          </cell>
          <cell r="BH100">
            <v>48273634988451.5</v>
          </cell>
          <cell r="BI100">
            <v>49306277527564.32</v>
          </cell>
          <cell r="BJ100">
            <v>51570870016899.758</v>
          </cell>
          <cell r="BK100">
            <v>54839704976037.125</v>
          </cell>
          <cell r="BL100">
            <v>55315474922573.359</v>
          </cell>
          <cell r="BM100">
            <v>53937976780898.125</v>
          </cell>
        </row>
        <row r="101">
          <cell r="B101" t="str">
            <v>HKG</v>
          </cell>
          <cell r="C101" t="str">
            <v>GDP (current US$)</v>
          </cell>
          <cell r="D101" t="str">
            <v>NY.GDP.MKTP.CD</v>
          </cell>
          <cell r="E101">
            <v>1320796651.6945691</v>
          </cell>
          <cell r="F101">
            <v>1383681651.1377556</v>
          </cell>
          <cell r="G101">
            <v>1612346412.2647462</v>
          </cell>
          <cell r="H101">
            <v>1935298266.45384</v>
          </cell>
          <cell r="I101">
            <v>2206466461.264338</v>
          </cell>
          <cell r="J101">
            <v>2435078534.0314136</v>
          </cell>
          <cell r="K101">
            <v>2489845016.6489425</v>
          </cell>
          <cell r="L101">
            <v>2692474989.1257071</v>
          </cell>
          <cell r="M101">
            <v>2716964388.4241838</v>
          </cell>
          <cell r="N101">
            <v>3189740055.1398187</v>
          </cell>
          <cell r="O101">
            <v>3800766535.6208773</v>
          </cell>
          <cell r="P101">
            <v>4476001946.014864</v>
          </cell>
          <cell r="Q101">
            <v>5710090550.6257334</v>
          </cell>
          <cell r="R101">
            <v>8030117555.6203251</v>
          </cell>
          <cell r="S101">
            <v>9388694744.8616295</v>
          </cell>
          <cell r="T101">
            <v>10048090236.906023</v>
          </cell>
          <cell r="U101">
            <v>12876366008.807699</v>
          </cell>
          <cell r="V101">
            <v>15719433719.714693</v>
          </cell>
          <cell r="W101">
            <v>18315137712.944199</v>
          </cell>
          <cell r="X101">
            <v>22526186035.240833</v>
          </cell>
          <cell r="Y101">
            <v>28861855877.279675</v>
          </cell>
          <cell r="Z101">
            <v>31055224236.641243</v>
          </cell>
          <cell r="AA101">
            <v>32291217616.935963</v>
          </cell>
          <cell r="AB101">
            <v>29907228556.696434</v>
          </cell>
          <cell r="AC101">
            <v>33511383985.674088</v>
          </cell>
          <cell r="AD101">
            <v>35699772165.709335</v>
          </cell>
          <cell r="AE101">
            <v>41075395130.286217</v>
          </cell>
          <cell r="AF101">
            <v>50622896162.600578</v>
          </cell>
          <cell r="AG101">
            <v>59707404560.594414</v>
          </cell>
          <cell r="AH101">
            <v>68790222117.757645</v>
          </cell>
          <cell r="AI101">
            <v>76928784620.815811</v>
          </cell>
          <cell r="AJ101">
            <v>88960001715.744049</v>
          </cell>
          <cell r="AK101">
            <v>104272503148.98753</v>
          </cell>
          <cell r="AL101">
            <v>120354207288.82765</v>
          </cell>
          <cell r="AM101">
            <v>135811776884.01025</v>
          </cell>
          <cell r="AN101">
            <v>144652289130.66904</v>
          </cell>
          <cell r="AO101">
            <v>159718180108.94171</v>
          </cell>
          <cell r="AP101">
            <v>177353167213.82065</v>
          </cell>
          <cell r="AQ101">
            <v>168885436391.80588</v>
          </cell>
          <cell r="AR101">
            <v>165768095391.55655</v>
          </cell>
          <cell r="AS101">
            <v>171668898538.9436</v>
          </cell>
          <cell r="AT101">
            <v>169404327616.60522</v>
          </cell>
          <cell r="AU101">
            <v>166348873240.94153</v>
          </cell>
          <cell r="AV101">
            <v>161385558801.81079</v>
          </cell>
          <cell r="AW101">
            <v>169099768875.1926</v>
          </cell>
          <cell r="AX101">
            <v>181569303960.22638</v>
          </cell>
          <cell r="AY101">
            <v>193535434591.37048</v>
          </cell>
          <cell r="AZ101">
            <v>211596953544.76208</v>
          </cell>
          <cell r="BA101">
            <v>219278739753.00195</v>
          </cell>
          <cell r="BB101">
            <v>214047795659.04471</v>
          </cell>
          <cell r="BC101">
            <v>228638678536.95154</v>
          </cell>
          <cell r="BD101">
            <v>248513617677.28674</v>
          </cell>
          <cell r="BE101">
            <v>262628877166.2171</v>
          </cell>
          <cell r="BF101">
            <v>275696879834.96649</v>
          </cell>
          <cell r="BG101">
            <v>291459983449.58044</v>
          </cell>
          <cell r="BH101">
            <v>309385622601.34808</v>
          </cell>
          <cell r="BI101">
            <v>320860317562.56238</v>
          </cell>
          <cell r="BJ101">
            <v>341273289534.46594</v>
          </cell>
          <cell r="BK101">
            <v>361731070995.72626</v>
          </cell>
          <cell r="BL101">
            <v>363074560517.27606</v>
          </cell>
          <cell r="BM101">
            <v>344943149590.05829</v>
          </cell>
        </row>
        <row r="102">
          <cell r="B102" t="str">
            <v>HND</v>
          </cell>
          <cell r="C102" t="str">
            <v>GDP (current US$)</v>
          </cell>
          <cell r="D102" t="str">
            <v>NY.GDP.MKTP.CD</v>
          </cell>
          <cell r="E102">
            <v>335649999.83217496</v>
          </cell>
          <cell r="F102">
            <v>356199999.82190001</v>
          </cell>
          <cell r="G102">
            <v>387749999.80612499</v>
          </cell>
          <cell r="H102">
            <v>410199999.7949</v>
          </cell>
          <cell r="I102">
            <v>456999999.77149999</v>
          </cell>
          <cell r="J102">
            <v>508649999.74567497</v>
          </cell>
          <cell r="K102">
            <v>549949999.72502494</v>
          </cell>
          <cell r="L102">
            <v>598099999.70095003</v>
          </cell>
          <cell r="M102">
            <v>646799999.67659998</v>
          </cell>
          <cell r="N102">
            <v>668000049.66599989</v>
          </cell>
          <cell r="O102">
            <v>722999999.63849998</v>
          </cell>
          <cell r="P102">
            <v>730999999.66495717</v>
          </cell>
          <cell r="Q102">
            <v>802996251.60654259</v>
          </cell>
          <cell r="R102">
            <v>912499599.45669055</v>
          </cell>
          <cell r="S102">
            <v>1034499999.7856154</v>
          </cell>
          <cell r="T102">
            <v>1124000000</v>
          </cell>
          <cell r="U102">
            <v>1347999950</v>
          </cell>
          <cell r="V102">
            <v>1669499950</v>
          </cell>
          <cell r="W102">
            <v>3097242093.1999998</v>
          </cell>
          <cell r="X102">
            <v>3544281976.3000002</v>
          </cell>
          <cell r="Y102">
            <v>3968160046</v>
          </cell>
          <cell r="Z102">
            <v>4043894878.5999999</v>
          </cell>
          <cell r="AA102">
            <v>4266503525.5999999</v>
          </cell>
          <cell r="AB102">
            <v>4476697184.8499994</v>
          </cell>
          <cell r="AC102">
            <v>4915311846.5</v>
          </cell>
          <cell r="AD102">
            <v>5278120712.5</v>
          </cell>
          <cell r="AE102">
            <v>5677828959</v>
          </cell>
          <cell r="AF102">
            <v>6190521241.5</v>
          </cell>
          <cell r="AG102">
            <v>5902717091.4163084</v>
          </cell>
          <cell r="AH102">
            <v>5432344901.7241383</v>
          </cell>
          <cell r="AI102">
            <v>4923009551.5564203</v>
          </cell>
          <cell r="AJ102">
            <v>4648668478.5675325</v>
          </cell>
          <cell r="AK102">
            <v>4943700431.0736828</v>
          </cell>
          <cell r="AL102">
            <v>4926728932.9506912</v>
          </cell>
          <cell r="AM102">
            <v>4642280682.142518</v>
          </cell>
          <cell r="AN102">
            <v>5347445005.2137642</v>
          </cell>
          <cell r="AO102">
            <v>5215028986.4864864</v>
          </cell>
          <cell r="AP102">
            <v>5737099650.190114</v>
          </cell>
          <cell r="AQ102">
            <v>6366340265.8788776</v>
          </cell>
          <cell r="AR102">
            <v>6414520529.616725</v>
          </cell>
          <cell r="AS102">
            <v>7186638029.0587492</v>
          </cell>
          <cell r="AT102">
            <v>7651162302.3456039</v>
          </cell>
          <cell r="AU102">
            <v>7858255253.499856</v>
          </cell>
          <cell r="AV102">
            <v>8230391504.7742739</v>
          </cell>
          <cell r="AW102">
            <v>8869299234.3376961</v>
          </cell>
          <cell r="AX102">
            <v>9757012869.2616825</v>
          </cell>
          <cell r="AY102">
            <v>10917476873.546001</v>
          </cell>
          <cell r="AZ102">
            <v>12361257680.562687</v>
          </cell>
          <cell r="BA102">
            <v>13881731630.967588</v>
          </cell>
          <cell r="BB102">
            <v>14587496229.18111</v>
          </cell>
          <cell r="BC102">
            <v>15839344591.984165</v>
          </cell>
          <cell r="BD102">
            <v>17710275997.474922</v>
          </cell>
          <cell r="BE102">
            <v>18528554861.05154</v>
          </cell>
          <cell r="BF102">
            <v>18499729063.419189</v>
          </cell>
          <cell r="BG102">
            <v>19756533658.082214</v>
          </cell>
          <cell r="BH102">
            <v>20979791685.416042</v>
          </cell>
          <cell r="BI102">
            <v>21717604580.862713</v>
          </cell>
          <cell r="BJ102">
            <v>23136248046.297894</v>
          </cell>
          <cell r="BK102">
            <v>24067750465.936077</v>
          </cell>
          <cell r="BL102">
            <v>25089937108.668098</v>
          </cell>
          <cell r="BM102">
            <v>23827859694.792065</v>
          </cell>
        </row>
        <row r="103">
          <cell r="B103" t="str">
            <v>HPC</v>
          </cell>
          <cell r="C103" t="str">
            <v>GDP (current US$)</v>
          </cell>
          <cell r="D103" t="str">
            <v>NY.GDP.MKTP.CD</v>
          </cell>
          <cell r="E103">
            <v>17292450314.77269</v>
          </cell>
          <cell r="F103">
            <v>17719500926.690468</v>
          </cell>
          <cell r="G103">
            <v>19291312491.523182</v>
          </cell>
          <cell r="H103">
            <v>23352325839.938015</v>
          </cell>
          <cell r="I103">
            <v>20816472041.235432</v>
          </cell>
          <cell r="J103">
            <v>24323923265.803936</v>
          </cell>
          <cell r="K103">
            <v>26501609734.397171</v>
          </cell>
          <cell r="L103">
            <v>25920628322.536198</v>
          </cell>
          <cell r="M103">
            <v>27476506890.415306</v>
          </cell>
          <cell r="N103">
            <v>30548727421.861504</v>
          </cell>
          <cell r="O103">
            <v>31962960653.614044</v>
          </cell>
          <cell r="P103">
            <v>34354320283.64756</v>
          </cell>
          <cell r="Q103">
            <v>37368293666.858116</v>
          </cell>
          <cell r="R103">
            <v>46136646050.391685</v>
          </cell>
          <cell r="S103">
            <v>54947655240.149048</v>
          </cell>
          <cell r="T103">
            <v>62791627878.733315</v>
          </cell>
          <cell r="U103">
            <v>66675385980.050476</v>
          </cell>
          <cell r="V103">
            <v>78348289023.16362</v>
          </cell>
          <cell r="W103">
            <v>92606200588.492172</v>
          </cell>
          <cell r="X103">
            <v>102275368434.50806</v>
          </cell>
          <cell r="Y103">
            <v>111360591670.02252</v>
          </cell>
          <cell r="Z103">
            <v>109356958746.01172</v>
          </cell>
          <cell r="AA103">
            <v>107882949059.38478</v>
          </cell>
          <cell r="AB103">
            <v>103238056408.20758</v>
          </cell>
          <cell r="AC103">
            <v>103775370860.91</v>
          </cell>
          <cell r="AD103">
            <v>103167273762.24872</v>
          </cell>
          <cell r="AE103">
            <v>118612183964.8419</v>
          </cell>
          <cell r="AF103">
            <v>130456353406.22681</v>
          </cell>
          <cell r="AG103">
            <v>137681617095.98386</v>
          </cell>
          <cell r="AH103">
            <v>140602461086.64853</v>
          </cell>
          <cell r="AI103">
            <v>162560597218.28436</v>
          </cell>
          <cell r="AJ103">
            <v>176588552457.84991</v>
          </cell>
          <cell r="AK103">
            <v>133058720157.93979</v>
          </cell>
          <cell r="AL103">
            <v>137974875225.50851</v>
          </cell>
          <cell r="AM103">
            <v>116858509287.21663</v>
          </cell>
          <cell r="AN103">
            <v>136471948148.07478</v>
          </cell>
          <cell r="AO103">
            <v>148315268097.96347</v>
          </cell>
          <cell r="AP103">
            <v>154577457887.3006</v>
          </cell>
          <cell r="AQ103">
            <v>163059826840.90515</v>
          </cell>
          <cell r="AR103">
            <v>163833164869.17819</v>
          </cell>
          <cell r="AS103">
            <v>177567717258.14267</v>
          </cell>
          <cell r="AT103">
            <v>172626762131.91452</v>
          </cell>
          <cell r="AU103">
            <v>186798471425.64059</v>
          </cell>
          <cell r="AV103">
            <v>211521311898.11487</v>
          </cell>
          <cell r="AW103">
            <v>243387232295.465</v>
          </cell>
          <cell r="AX103">
            <v>279221096803.81171</v>
          </cell>
          <cell r="AY103">
            <v>329711051193.58887</v>
          </cell>
          <cell r="AZ103">
            <v>394093813152.22205</v>
          </cell>
          <cell r="BA103">
            <v>469266243001.1059</v>
          </cell>
          <cell r="BB103">
            <v>474595462541.23535</v>
          </cell>
          <cell r="BC103">
            <v>524405539450.4173</v>
          </cell>
          <cell r="BD103">
            <v>588453270331.3092</v>
          </cell>
          <cell r="BE103">
            <v>609295540296.69141</v>
          </cell>
          <cell r="BF103">
            <v>677647202698.72534</v>
          </cell>
          <cell r="BG103">
            <v>719693866273.25073</v>
          </cell>
          <cell r="BH103">
            <v>698814203077.2489</v>
          </cell>
          <cell r="BI103">
            <v>731974952060.24951</v>
          </cell>
          <cell r="BJ103">
            <v>809850137940.15137</v>
          </cell>
          <cell r="BK103">
            <v>771241850302.93359</v>
          </cell>
          <cell r="BL103">
            <v>799160667507.73499</v>
          </cell>
          <cell r="BM103">
            <v>808664234946.37964</v>
          </cell>
        </row>
        <row r="104">
          <cell r="B104" t="str">
            <v>HRV</v>
          </cell>
          <cell r="C104" t="str">
            <v>GDP (current US$)</v>
          </cell>
          <cell r="D104" t="str">
            <v>NY.GDP.MKTP.CD</v>
          </cell>
          <cell r="AN104">
            <v>22778305790.16301</v>
          </cell>
          <cell r="AO104">
            <v>24147539209.850246</v>
          </cell>
          <cell r="AP104">
            <v>24172608178.087128</v>
          </cell>
          <cell r="AQ104">
            <v>25885225293.615086</v>
          </cell>
          <cell r="AR104">
            <v>23770159784.257236</v>
          </cell>
          <cell r="AS104">
            <v>22128719418.437622</v>
          </cell>
          <cell r="AT104">
            <v>23063323722.500717</v>
          </cell>
          <cell r="AU104">
            <v>26757255951.778645</v>
          </cell>
          <cell r="AV104">
            <v>35254833028.402016</v>
          </cell>
          <cell r="AW104">
            <v>41855265955.291931</v>
          </cell>
          <cell r="AX104">
            <v>45025328213.787781</v>
          </cell>
          <cell r="AY104">
            <v>49532592592.883232</v>
          </cell>
          <cell r="AZ104">
            <v>59172904660.617569</v>
          </cell>
          <cell r="BA104">
            <v>68342061762.001678</v>
          </cell>
          <cell r="BB104">
            <v>61941466003.287453</v>
          </cell>
          <cell r="BC104">
            <v>58693611581.162033</v>
          </cell>
          <cell r="BD104">
            <v>62599775593.220985</v>
          </cell>
          <cell r="BE104">
            <v>57231455635.366821</v>
          </cell>
          <cell r="BF104">
            <v>59363124068.584259</v>
          </cell>
          <cell r="BG104">
            <v>59214461630.399292</v>
          </cell>
          <cell r="BH104">
            <v>50742086222.907005</v>
          </cell>
          <cell r="BI104">
            <v>52391038979.033791</v>
          </cell>
          <cell r="BJ104">
            <v>55937483557.925568</v>
          </cell>
          <cell r="BK104">
            <v>61330483609.883514</v>
          </cell>
          <cell r="BL104">
            <v>61329267533.131554</v>
          </cell>
          <cell r="BM104">
            <v>57624938982.360626</v>
          </cell>
        </row>
        <row r="105">
          <cell r="B105" t="str">
            <v>HTI</v>
          </cell>
          <cell r="C105" t="str">
            <v>GDP (current US$)</v>
          </cell>
          <cell r="D105" t="str">
            <v>NY.GDP.MKTP.CD</v>
          </cell>
          <cell r="E105">
            <v>273187199.78145021</v>
          </cell>
          <cell r="F105">
            <v>271065999.78314716</v>
          </cell>
          <cell r="G105">
            <v>281896799.77448255</v>
          </cell>
          <cell r="H105">
            <v>294883399.76409328</v>
          </cell>
          <cell r="I105">
            <v>325281199.739775</v>
          </cell>
          <cell r="J105">
            <v>353251799.71739852</v>
          </cell>
          <cell r="K105">
            <v>368948599.70484108</v>
          </cell>
          <cell r="L105">
            <v>369124199.70470059</v>
          </cell>
          <cell r="M105">
            <v>367968799.70562494</v>
          </cell>
          <cell r="N105">
            <v>391820399.68654364</v>
          </cell>
          <cell r="O105">
            <v>331199999.73503995</v>
          </cell>
          <cell r="P105">
            <v>362799999.70975995</v>
          </cell>
          <cell r="Q105">
            <v>371998971.85506696</v>
          </cell>
          <cell r="R105">
            <v>466798975.00493836</v>
          </cell>
          <cell r="S105">
            <v>565399296.71813154</v>
          </cell>
          <cell r="T105">
            <v>681400000.13628006</v>
          </cell>
          <cell r="U105">
            <v>879000000.17579997</v>
          </cell>
          <cell r="V105">
            <v>947000000.18939996</v>
          </cell>
          <cell r="W105">
            <v>974200000.19484007</v>
          </cell>
          <cell r="X105">
            <v>1080600000.21612</v>
          </cell>
          <cell r="Y105">
            <v>1383800000.2767601</v>
          </cell>
          <cell r="Z105">
            <v>1479400000.2958801</v>
          </cell>
          <cell r="AA105">
            <v>1474200000.2948401</v>
          </cell>
          <cell r="AB105">
            <v>1623600000.3247201</v>
          </cell>
          <cell r="AC105">
            <v>1816200000.2421613</v>
          </cell>
          <cell r="AD105">
            <v>2009400000</v>
          </cell>
          <cell r="AE105">
            <v>2318000000</v>
          </cell>
          <cell r="AF105">
            <v>2047200000</v>
          </cell>
          <cell r="AG105">
            <v>2613926800</v>
          </cell>
          <cell r="AH105">
            <v>2736243800</v>
          </cell>
          <cell r="AI105">
            <v>3096289800</v>
          </cell>
          <cell r="AJ105">
            <v>3473562850.2802219</v>
          </cell>
          <cell r="AK105">
            <v>2257129873.670814</v>
          </cell>
          <cell r="AL105">
            <v>1878253818.0835197</v>
          </cell>
          <cell r="AM105">
            <v>2167569095.1223598</v>
          </cell>
          <cell r="AN105">
            <v>2813313278.8108196</v>
          </cell>
          <cell r="AO105">
            <v>2907517543.3584623</v>
          </cell>
          <cell r="AP105">
            <v>3338949151.5992718</v>
          </cell>
          <cell r="AQ105">
            <v>3723903723.6377182</v>
          </cell>
          <cell r="AR105">
            <v>4153725966.885087</v>
          </cell>
          <cell r="AS105">
            <v>6813565983.1170788</v>
          </cell>
          <cell r="AT105">
            <v>6331970412.8850946</v>
          </cell>
          <cell r="AU105">
            <v>6205847136.9842224</v>
          </cell>
          <cell r="AV105">
            <v>5071947797.9827261</v>
          </cell>
          <cell r="AW105">
            <v>6087360734.560627</v>
          </cell>
          <cell r="AX105">
            <v>7030149790.9304228</v>
          </cell>
          <cell r="AY105">
            <v>7638739123.5444393</v>
          </cell>
          <cell r="AZ105">
            <v>9228637766.2431564</v>
          </cell>
          <cell r="BA105">
            <v>10432962724.761663</v>
          </cell>
          <cell r="BB105">
            <v>11597002929.79891</v>
          </cell>
          <cell r="BC105">
            <v>11859312627.076307</v>
          </cell>
          <cell r="BD105">
            <v>13008746038.8867</v>
          </cell>
          <cell r="BE105">
            <v>13708925402.936991</v>
          </cell>
          <cell r="BF105">
            <v>14902488489.054474</v>
          </cell>
          <cell r="BG105">
            <v>15146883647.376593</v>
          </cell>
          <cell r="BH105">
            <v>14849629407.954582</v>
          </cell>
          <cell r="BI105">
            <v>14069277532.499874</v>
          </cell>
          <cell r="BJ105">
            <v>15093357143.420015</v>
          </cell>
          <cell r="BK105">
            <v>16403864521.412119</v>
          </cell>
          <cell r="BL105">
            <v>15016090929.87443</v>
          </cell>
          <cell r="BM105">
            <v>14508222518.157993</v>
          </cell>
        </row>
        <row r="106">
          <cell r="B106" t="str">
            <v>HUN</v>
          </cell>
          <cell r="C106" t="str">
            <v>GDP (current US$)</v>
          </cell>
          <cell r="D106" t="str">
            <v>NY.GDP.MKTP.CD</v>
          </cell>
          <cell r="AJ106">
            <v>34753569692.914963</v>
          </cell>
          <cell r="AK106">
            <v>38730585922.218864</v>
          </cell>
          <cell r="AL106">
            <v>40124916940.594467</v>
          </cell>
          <cell r="AM106">
            <v>43166678735.218323</v>
          </cell>
          <cell r="AN106">
            <v>46425677734.143517</v>
          </cell>
          <cell r="AO106">
            <v>46658765340.437515</v>
          </cell>
          <cell r="AP106">
            <v>47296961369.10144</v>
          </cell>
          <cell r="AQ106">
            <v>48706794878.771072</v>
          </cell>
          <cell r="AR106">
            <v>49073373275.937874</v>
          </cell>
          <cell r="AS106">
            <v>47218411470.253769</v>
          </cell>
          <cell r="AT106">
            <v>53749989092.019722</v>
          </cell>
          <cell r="AU106">
            <v>67608919144.368355</v>
          </cell>
          <cell r="AV106">
            <v>85285075491.885971</v>
          </cell>
          <cell r="AW106">
            <v>104120803140.22089</v>
          </cell>
          <cell r="AX106">
            <v>113211158292.93649</v>
          </cell>
          <cell r="AY106">
            <v>115715618613.05196</v>
          </cell>
          <cell r="AZ106">
            <v>140186691233.53223</v>
          </cell>
          <cell r="BA106">
            <v>158325583917.57401</v>
          </cell>
          <cell r="BB106">
            <v>131069277212.63518</v>
          </cell>
          <cell r="BC106">
            <v>132175349953.71332</v>
          </cell>
          <cell r="BD106">
            <v>141942264554.47513</v>
          </cell>
          <cell r="BE106">
            <v>128814279315.1317</v>
          </cell>
          <cell r="BF106">
            <v>135684315697.71341</v>
          </cell>
          <cell r="BG106">
            <v>141033843265.66858</v>
          </cell>
          <cell r="BH106">
            <v>125174166987.37169</v>
          </cell>
          <cell r="BI106">
            <v>128609822750.03862</v>
          </cell>
          <cell r="BJ106">
            <v>143112196040.32568</v>
          </cell>
          <cell r="BK106">
            <v>160565642983.58676</v>
          </cell>
          <cell r="BL106">
            <v>164020460331.65897</v>
          </cell>
          <cell r="BM106">
            <v>157227094449.07394</v>
          </cell>
        </row>
        <row r="107">
          <cell r="B107" t="str">
            <v>IBD</v>
          </cell>
          <cell r="C107" t="str">
            <v>GDP (current US$)</v>
          </cell>
          <cell r="D107" t="str">
            <v>NY.GDP.MKTP.CD</v>
          </cell>
          <cell r="E107">
            <v>312847710618.94525</v>
          </cell>
          <cell r="F107">
            <v>309558648106.40173</v>
          </cell>
          <cell r="G107">
            <v>317296811852.14471</v>
          </cell>
          <cell r="H107">
            <v>340355731341.58185</v>
          </cell>
          <cell r="I107">
            <v>385694861547.25171</v>
          </cell>
          <cell r="J107">
            <v>422949538284.62646</v>
          </cell>
          <cell r="K107">
            <v>436648397312.2934</v>
          </cell>
          <cell r="L107">
            <v>448215720989.04883</v>
          </cell>
          <cell r="M107">
            <v>473404257947.55743</v>
          </cell>
          <cell r="N107">
            <v>528433899524.89777</v>
          </cell>
          <cell r="O107">
            <v>574979364132.60107</v>
          </cell>
          <cell r="P107">
            <v>627486667752.12463</v>
          </cell>
          <cell r="Q107">
            <v>706116891008.86023</v>
          </cell>
          <cell r="R107">
            <v>914768346940.19751</v>
          </cell>
          <cell r="S107">
            <v>1152536835908.1655</v>
          </cell>
          <cell r="T107">
            <v>1244887902983.4089</v>
          </cell>
          <cell r="U107">
            <v>1348869508762.094</v>
          </cell>
          <cell r="V107">
            <v>1527707387232.1042</v>
          </cell>
          <cell r="W107">
            <v>1691716799777.7051</v>
          </cell>
          <cell r="X107">
            <v>1970758429473.4514</v>
          </cell>
          <cell r="Y107">
            <v>2333234306398.2881</v>
          </cell>
          <cell r="Z107">
            <v>2516418067586.1143</v>
          </cell>
          <cell r="AA107">
            <v>2491063028144.2749</v>
          </cell>
          <cell r="AB107">
            <v>2452321862781.729</v>
          </cell>
          <cell r="AC107">
            <v>2545964829024.5693</v>
          </cell>
          <cell r="AD107">
            <v>2642524425526.3188</v>
          </cell>
          <cell r="AE107">
            <v>2755085729092.6938</v>
          </cell>
          <cell r="AF107">
            <v>2836707800974.4521</v>
          </cell>
          <cell r="AG107">
            <v>3037192192086.1904</v>
          </cell>
          <cell r="AH107">
            <v>3164104713185.1221</v>
          </cell>
          <cell r="AI107">
            <v>3638437908431.4033</v>
          </cell>
          <cell r="AJ107">
            <v>3517602600753.9531</v>
          </cell>
          <cell r="AK107">
            <v>3701861762943.0596</v>
          </cell>
          <cell r="AL107">
            <v>3977963109219.5532</v>
          </cell>
          <cell r="AM107">
            <v>4332708771702.4907</v>
          </cell>
          <cell r="AN107">
            <v>4897137935207.4307</v>
          </cell>
          <cell r="AO107">
            <v>5348738916926.9609</v>
          </cell>
          <cell r="AP107">
            <v>5671483037214.0088</v>
          </cell>
          <cell r="AQ107">
            <v>5510045621255.4648</v>
          </cell>
          <cell r="AR107">
            <v>5366064673362.042</v>
          </cell>
          <cell r="AS107">
            <v>5839436714264.7168</v>
          </cell>
          <cell r="AT107">
            <v>5911673645506.4766</v>
          </cell>
          <cell r="AU107">
            <v>6001266668417.2969</v>
          </cell>
          <cell r="AV107">
            <v>6747932625643.0771</v>
          </cell>
          <cell r="AW107">
            <v>8043519579051.21</v>
          </cell>
          <cell r="AX107">
            <v>9615796081224.459</v>
          </cell>
          <cell r="AY107">
            <v>11403941454978.889</v>
          </cell>
          <cell r="AZ107">
            <v>14166070736983.455</v>
          </cell>
          <cell r="BA107">
            <v>17000231113774.285</v>
          </cell>
          <cell r="BB107">
            <v>16487865779437.688</v>
          </cell>
          <cell r="BC107">
            <v>20048166862477.156</v>
          </cell>
          <cell r="BD107">
            <v>23739490220163.059</v>
          </cell>
          <cell r="BE107">
            <v>25231185297161.258</v>
          </cell>
          <cell r="BF107">
            <v>26621251796118.445</v>
          </cell>
          <cell r="BG107">
            <v>27519521640517.512</v>
          </cell>
          <cell r="BH107">
            <v>25774291128877.188</v>
          </cell>
          <cell r="BI107">
            <v>25972093023068.715</v>
          </cell>
          <cell r="BJ107">
            <v>28689022224808.453</v>
          </cell>
          <cell r="BK107">
            <v>30520147708889.996</v>
          </cell>
          <cell r="BL107">
            <v>31181885466267.445</v>
          </cell>
          <cell r="BM107">
            <v>30036645646514.105</v>
          </cell>
        </row>
        <row r="108">
          <cell r="B108" t="str">
            <v>IBT</v>
          </cell>
          <cell r="C108" t="str">
            <v>GDP (current US$)</v>
          </cell>
          <cell r="D108" t="str">
            <v>NY.GDP.MKTP.CD</v>
          </cell>
          <cell r="E108">
            <v>351271390107.7428</v>
          </cell>
          <cell r="F108">
            <v>350792507441.11169</v>
          </cell>
          <cell r="G108">
            <v>362178039570.06165</v>
          </cell>
          <cell r="H108">
            <v>390673356818.89246</v>
          </cell>
          <cell r="I108">
            <v>433787465166.33618</v>
          </cell>
          <cell r="J108">
            <v>477570690087.12866</v>
          </cell>
          <cell r="K108">
            <v>496238221381.39056</v>
          </cell>
          <cell r="L108">
            <v>508218462962.17352</v>
          </cell>
          <cell r="M108">
            <v>536462477460.47595</v>
          </cell>
          <cell r="N108">
            <v>599235406692.58691</v>
          </cell>
          <cell r="O108">
            <v>657852694284.38977</v>
          </cell>
          <cell r="P108">
            <v>709722967090.34546</v>
          </cell>
          <cell r="Q108">
            <v>791160280563.65039</v>
          </cell>
          <cell r="R108">
            <v>1011675036369.3525</v>
          </cell>
          <cell r="S108">
            <v>1282877331903.4109</v>
          </cell>
          <cell r="T108">
            <v>1402503928502.2358</v>
          </cell>
          <cell r="U108">
            <v>1511505065576.2444</v>
          </cell>
          <cell r="V108">
            <v>1704528242516.281</v>
          </cell>
          <cell r="W108">
            <v>1892704345565.2986</v>
          </cell>
          <cell r="X108">
            <v>2204254696266.5459</v>
          </cell>
          <cell r="Y108">
            <v>2612608601648.5444</v>
          </cell>
          <cell r="Z108">
            <v>2938958646106.9399</v>
          </cell>
          <cell r="AA108">
            <v>2886738091442.2705</v>
          </cell>
          <cell r="AB108">
            <v>2779448084203.3271</v>
          </cell>
          <cell r="AC108">
            <v>2845219285275.3213</v>
          </cell>
          <cell r="AD108">
            <v>2947286345770.0239</v>
          </cell>
          <cell r="AE108">
            <v>3062487003592.8032</v>
          </cell>
          <cell r="AF108">
            <v>3170194994177.5791</v>
          </cell>
          <cell r="AG108">
            <v>3364776021250.5083</v>
          </cell>
          <cell r="AH108">
            <v>3496626582886.9395</v>
          </cell>
          <cell r="AI108">
            <v>4017383514929.5322</v>
          </cell>
          <cell r="AJ108">
            <v>3915793184881.1152</v>
          </cell>
          <cell r="AK108">
            <v>4063636192649.1177</v>
          </cell>
          <cell r="AL108">
            <v>4330925467103.7295</v>
          </cell>
          <cell r="AM108">
            <v>4685118960920.8447</v>
          </cell>
          <cell r="AN108">
            <v>5303331574441.833</v>
          </cell>
          <cell r="AO108">
            <v>5805057320128.4062</v>
          </cell>
          <cell r="AP108">
            <v>6147194034003.1885</v>
          </cell>
          <cell r="AQ108">
            <v>5994914072573.2334</v>
          </cell>
          <cell r="AR108">
            <v>5864975962199.9932</v>
          </cell>
          <cell r="AS108">
            <v>6392236773484.9375</v>
          </cell>
          <cell r="AT108">
            <v>6467058819404.0029</v>
          </cell>
          <cell r="AU108">
            <v>6597179645796.5576</v>
          </cell>
          <cell r="AV108">
            <v>7411818808331.1572</v>
          </cell>
          <cell r="AW108">
            <v>8822574687641.8008</v>
          </cell>
          <cell r="AX108">
            <v>10526961170664.023</v>
          </cell>
          <cell r="AY108">
            <v>12493276098307.357</v>
          </cell>
          <cell r="AZ108">
            <v>15440043749347.971</v>
          </cell>
          <cell r="BA108">
            <v>18521254921505.867</v>
          </cell>
          <cell r="BB108">
            <v>18003100309250.699</v>
          </cell>
          <cell r="BC108">
            <v>21798451915412.332</v>
          </cell>
          <cell r="BD108">
            <v>25521665780816.383</v>
          </cell>
          <cell r="BE108">
            <v>27106356951918.172</v>
          </cell>
          <cell r="BF108">
            <v>28659297586380.895</v>
          </cell>
          <cell r="BG108">
            <v>29716965776742.887</v>
          </cell>
          <cell r="BH108">
            <v>27922343491136.941</v>
          </cell>
          <cell r="BI108">
            <v>28162575334751.82</v>
          </cell>
          <cell r="BJ108">
            <v>30978325716193.137</v>
          </cell>
          <cell r="BK108">
            <v>32893629417407.633</v>
          </cell>
          <cell r="BL108">
            <v>33639428774236.219</v>
          </cell>
          <cell r="BM108">
            <v>32450856363672.738</v>
          </cell>
        </row>
        <row r="109">
          <cell r="B109" t="str">
            <v>IDA</v>
          </cell>
          <cell r="C109" t="str">
            <v>GDP (current US$)</v>
          </cell>
          <cell r="D109" t="str">
            <v>NY.GDP.MKTP.CD</v>
          </cell>
          <cell r="E109">
            <v>38320022083.144333</v>
          </cell>
          <cell r="F109">
            <v>40400043936.412338</v>
          </cell>
          <cell r="G109">
            <v>43393750351.950249</v>
          </cell>
          <cell r="H109">
            <v>48370130958.800606</v>
          </cell>
          <cell r="I109">
            <v>47330394529.871834</v>
          </cell>
          <cell r="J109">
            <v>53468536046.245636</v>
          </cell>
          <cell r="K109">
            <v>57924073847.914917</v>
          </cell>
          <cell r="L109">
            <v>58466985789.62262</v>
          </cell>
          <cell r="M109">
            <v>61480692436.859337</v>
          </cell>
          <cell r="N109">
            <v>68985085298.843826</v>
          </cell>
          <cell r="O109">
            <v>80115065650.167618</v>
          </cell>
          <cell r="P109">
            <v>80333811803.579147</v>
          </cell>
          <cell r="Q109">
            <v>83918830280.86084</v>
          </cell>
          <cell r="R109">
            <v>97248051627.353226</v>
          </cell>
          <cell r="S109">
            <v>129652908582.84749</v>
          </cell>
          <cell r="T109">
            <v>154660739085.54471</v>
          </cell>
          <cell r="U109">
            <v>160505749714.26443</v>
          </cell>
          <cell r="V109">
            <v>175375816534.45322</v>
          </cell>
          <cell r="W109">
            <v>198704575513.16553</v>
          </cell>
          <cell r="X109">
            <v>230921468554.14221</v>
          </cell>
          <cell r="Y109">
            <v>275938398374.97015</v>
          </cell>
          <cell r="Z109">
            <v>403363550594.80536</v>
          </cell>
          <cell r="AA109">
            <v>379740257647.27289</v>
          </cell>
          <cell r="AB109">
            <v>319870919535.74408</v>
          </cell>
          <cell r="AC109">
            <v>297176525826.3222</v>
          </cell>
          <cell r="AD109">
            <v>303420381551.10608</v>
          </cell>
          <cell r="AE109">
            <v>307389061412.18158</v>
          </cell>
          <cell r="AF109">
            <v>331097179326.61731</v>
          </cell>
          <cell r="AG109">
            <v>328077583890.664</v>
          </cell>
          <cell r="AH109">
            <v>332445061090.59106</v>
          </cell>
          <cell r="AI109">
            <v>378625893677.55804</v>
          </cell>
          <cell r="AJ109">
            <v>398382717615.29431</v>
          </cell>
          <cell r="AK109">
            <v>361568265924.16565</v>
          </cell>
          <cell r="AL109">
            <v>352530368672.37</v>
          </cell>
          <cell r="AM109">
            <v>351486400435.63257</v>
          </cell>
          <cell r="AN109">
            <v>405263109955.89374</v>
          </cell>
          <cell r="AO109">
            <v>455586035969.38544</v>
          </cell>
          <cell r="AP109">
            <v>474751908908.99432</v>
          </cell>
          <cell r="AQ109">
            <v>484445538274.85663</v>
          </cell>
          <cell r="AR109">
            <v>499098297624.17419</v>
          </cell>
          <cell r="AS109">
            <v>553224994016.66333</v>
          </cell>
          <cell r="AT109">
            <v>555728370769.75964</v>
          </cell>
          <cell r="AU109">
            <v>596913956893.63672</v>
          </cell>
          <cell r="AV109">
            <v>664923940273.57617</v>
          </cell>
          <cell r="AW109">
            <v>780117195842.13147</v>
          </cell>
          <cell r="AX109">
            <v>912147805680.73376</v>
          </cell>
          <cell r="AY109">
            <v>1090624298175.3989</v>
          </cell>
          <cell r="AZ109">
            <v>1274448228707.5828</v>
          </cell>
          <cell r="BA109">
            <v>1521482725374.4165</v>
          </cell>
          <cell r="BB109">
            <v>1515763269136.5122</v>
          </cell>
          <cell r="BC109">
            <v>1750735521057.7703</v>
          </cell>
          <cell r="BD109">
            <v>1782101859063.5483</v>
          </cell>
          <cell r="BE109">
            <v>1875053620989.959</v>
          </cell>
          <cell r="BF109">
            <v>2038045790262.4453</v>
          </cell>
          <cell r="BG109">
            <v>2197444136225.3748</v>
          </cell>
          <cell r="BH109">
            <v>2146720272494.658</v>
          </cell>
          <cell r="BI109">
            <v>2188895718882.4385</v>
          </cell>
          <cell r="BJ109">
            <v>2288777969587.3804</v>
          </cell>
          <cell r="BK109">
            <v>2373505833478.7188</v>
          </cell>
          <cell r="BL109">
            <v>2457261018776.6943</v>
          </cell>
          <cell r="BM109">
            <v>2413496959520.8389</v>
          </cell>
        </row>
        <row r="110">
          <cell r="B110" t="str">
            <v>IDB</v>
          </cell>
          <cell r="C110" t="str">
            <v>GDP (current US$)</v>
          </cell>
          <cell r="D110" t="str">
            <v>NY.GDP.MKTP.CD</v>
          </cell>
          <cell r="E110">
            <v>12063716103.747471</v>
          </cell>
          <cell r="F110">
            <v>12910262578.40123</v>
          </cell>
          <cell r="G110">
            <v>13806159755.92247</v>
          </cell>
          <cell r="H110">
            <v>14612004567.717182</v>
          </cell>
          <cell r="I110">
            <v>15945614583.756092</v>
          </cell>
          <cell r="J110">
            <v>17314264918.664852</v>
          </cell>
          <cell r="K110">
            <v>18833729124.975533</v>
          </cell>
          <cell r="L110">
            <v>18930485110.743797</v>
          </cell>
          <cell r="M110">
            <v>19982447045.262897</v>
          </cell>
          <cell r="N110">
            <v>22860809160.256626</v>
          </cell>
          <cell r="O110">
            <v>31424774715.250301</v>
          </cell>
          <cell r="P110">
            <v>29185227706.104748</v>
          </cell>
          <cell r="Q110">
            <v>32770575917.460693</v>
          </cell>
          <cell r="R110">
            <v>34960184147.197777</v>
          </cell>
          <cell r="S110">
            <v>50396527690.386765</v>
          </cell>
          <cell r="T110">
            <v>57971333194.154709</v>
          </cell>
          <cell r="U110">
            <v>69959421026.51825</v>
          </cell>
          <cell r="V110">
            <v>73756383699.639603</v>
          </cell>
          <cell r="W110">
            <v>80183338760.429352</v>
          </cell>
          <cell r="X110">
            <v>98426900974.466522</v>
          </cell>
          <cell r="Y110">
            <v>126262885823.11565</v>
          </cell>
          <cell r="Z110">
            <v>243040674356.80649</v>
          </cell>
          <cell r="AA110">
            <v>222134599186.92398</v>
          </cell>
          <cell r="AB110">
            <v>168564486625.02612</v>
          </cell>
          <cell r="AC110">
            <v>144656607095.24207</v>
          </cell>
          <cell r="AD110">
            <v>145317223261.0271</v>
          </cell>
          <cell r="AE110">
            <v>131018133500.04601</v>
          </cell>
          <cell r="AF110">
            <v>134041262796.61052</v>
          </cell>
          <cell r="AG110">
            <v>137620710028.0058</v>
          </cell>
          <cell r="AH110">
            <v>132645444778.80235</v>
          </cell>
          <cell r="AI110">
            <v>146299168037.10983</v>
          </cell>
          <cell r="AJ110">
            <v>146920446197.12646</v>
          </cell>
          <cell r="AK110">
            <v>147612421861.85474</v>
          </cell>
          <cell r="AL110">
            <v>132706122125.0148</v>
          </cell>
          <cell r="AM110">
            <v>133300725340.58946</v>
          </cell>
          <cell r="AN110">
            <v>156253994796.22272</v>
          </cell>
          <cell r="AO110">
            <v>172449894064.98749</v>
          </cell>
          <cell r="AP110">
            <v>176072253065.3009</v>
          </cell>
          <cell r="AQ110">
            <v>173821053311.18213</v>
          </cell>
          <cell r="AR110">
            <v>181554251968.96042</v>
          </cell>
          <cell r="AS110">
            <v>206736962646.80014</v>
          </cell>
          <cell r="AT110">
            <v>206419302736.92886</v>
          </cell>
          <cell r="AU110">
            <v>227772326360.28946</v>
          </cell>
          <cell r="AV110">
            <v>256311555309.27869</v>
          </cell>
          <cell r="AW110">
            <v>311522373743.72565</v>
          </cell>
          <cell r="AX110">
            <v>372742440249.26721</v>
          </cell>
          <cell r="AY110">
            <v>469295440463.0014</v>
          </cell>
          <cell r="AZ110">
            <v>541264522565.23633</v>
          </cell>
          <cell r="BA110">
            <v>640036074397.37915</v>
          </cell>
          <cell r="BB110">
            <v>606965502107.91418</v>
          </cell>
          <cell r="BC110">
            <v>715590112082.90076</v>
          </cell>
          <cell r="BD110">
            <v>823906283238.81543</v>
          </cell>
          <cell r="BE110">
            <v>909186219114.41528</v>
          </cell>
          <cell r="BF110">
            <v>989607127321.84131</v>
          </cell>
          <cell r="BG110">
            <v>1076979908548.0337</v>
          </cell>
          <cell r="BH110">
            <v>1017844957897.4161</v>
          </cell>
          <cell r="BI110">
            <v>977321951410.72766</v>
          </cell>
          <cell r="BJ110">
            <v>960023974850.2915</v>
          </cell>
          <cell r="BK110">
            <v>1048863296886.9071</v>
          </cell>
          <cell r="BL110">
            <v>1069700472074.9744</v>
          </cell>
          <cell r="BM110">
            <v>1002567723026.3032</v>
          </cell>
        </row>
        <row r="111">
          <cell r="B111" t="str">
            <v>IDN</v>
          </cell>
          <cell r="C111" t="str">
            <v>GDP (current US$)</v>
          </cell>
          <cell r="D111" t="str">
            <v>NY.GDP.MKTP.CD</v>
          </cell>
          <cell r="L111">
            <v>5667756644.9716015</v>
          </cell>
          <cell r="M111">
            <v>7076465295.2735615</v>
          </cell>
          <cell r="N111">
            <v>8337423312.8834352</v>
          </cell>
          <cell r="O111">
            <v>9150684931.5068493</v>
          </cell>
          <cell r="P111">
            <v>9333536359.7443104</v>
          </cell>
          <cell r="Q111">
            <v>10997590361.445784</v>
          </cell>
          <cell r="R111">
            <v>16273253012.048193</v>
          </cell>
          <cell r="S111">
            <v>25802409638.554218</v>
          </cell>
          <cell r="T111">
            <v>30463855421.760155</v>
          </cell>
          <cell r="U111">
            <v>37269156626.595825</v>
          </cell>
          <cell r="V111">
            <v>45808915662.760986</v>
          </cell>
          <cell r="W111">
            <v>51455719100.269951</v>
          </cell>
          <cell r="X111">
            <v>51400186379.187317</v>
          </cell>
          <cell r="Y111">
            <v>72482337370.855103</v>
          </cell>
          <cell r="Z111">
            <v>85518233450.181808</v>
          </cell>
          <cell r="AA111">
            <v>90158449307.259979</v>
          </cell>
          <cell r="AB111">
            <v>81052283404.217926</v>
          </cell>
          <cell r="AC111">
            <v>84853699994.567734</v>
          </cell>
          <cell r="AD111">
            <v>85289488375.468811</v>
          </cell>
          <cell r="AE111">
            <v>79954072569.463684</v>
          </cell>
          <cell r="AF111">
            <v>75929617576.228165</v>
          </cell>
          <cell r="AG111">
            <v>84300174475.795517</v>
          </cell>
          <cell r="AH111">
            <v>94451427898.007034</v>
          </cell>
          <cell r="AI111">
            <v>106140727356.67451</v>
          </cell>
          <cell r="AJ111">
            <v>116621996217.13341</v>
          </cell>
          <cell r="AK111">
            <v>128026966579.96375</v>
          </cell>
          <cell r="AL111">
            <v>158006700301.5332</v>
          </cell>
          <cell r="AM111">
            <v>176892143931.50528</v>
          </cell>
          <cell r="AN111">
            <v>202132028723.11533</v>
          </cell>
          <cell r="AO111">
            <v>227369679374.9733</v>
          </cell>
          <cell r="AP111">
            <v>215748998609.63501</v>
          </cell>
          <cell r="AQ111">
            <v>95445547872.715027</v>
          </cell>
          <cell r="AR111">
            <v>140001351215.46185</v>
          </cell>
          <cell r="AS111">
            <v>165021012077.80963</v>
          </cell>
          <cell r="AT111">
            <v>160446947784.90857</v>
          </cell>
          <cell r="AU111">
            <v>195660611165.18344</v>
          </cell>
          <cell r="AV111">
            <v>234772463823.80835</v>
          </cell>
          <cell r="AW111">
            <v>256836875295.4519</v>
          </cell>
          <cell r="AX111">
            <v>285868619205.9035</v>
          </cell>
          <cell r="AY111">
            <v>364570515631.62451</v>
          </cell>
          <cell r="AZ111">
            <v>432216737774.86053</v>
          </cell>
          <cell r="BA111">
            <v>510228634992.25824</v>
          </cell>
          <cell r="BB111">
            <v>539580085612.40143</v>
          </cell>
          <cell r="BC111">
            <v>755094157594.24768</v>
          </cell>
          <cell r="BD111">
            <v>892969104529.23291</v>
          </cell>
          <cell r="BE111">
            <v>917869913365.24316</v>
          </cell>
          <cell r="BF111">
            <v>912524136718.01819</v>
          </cell>
          <cell r="BG111">
            <v>890814755511.29126</v>
          </cell>
          <cell r="BH111">
            <v>860854232717.85266</v>
          </cell>
          <cell r="BI111">
            <v>931877364033.90222</v>
          </cell>
          <cell r="BJ111">
            <v>1015618744168.1512</v>
          </cell>
          <cell r="BK111">
            <v>1042271532953.3597</v>
          </cell>
          <cell r="BL111">
            <v>1119099871386.1587</v>
          </cell>
          <cell r="BM111">
            <v>1059054842711.7219</v>
          </cell>
        </row>
        <row r="112">
          <cell r="B112" t="str">
            <v>IDX</v>
          </cell>
          <cell r="C112" t="str">
            <v>GDP (current US$)</v>
          </cell>
          <cell r="D112" t="str">
            <v>NY.GDP.MKTP.CD</v>
          </cell>
          <cell r="E112">
            <v>27105173973.397484</v>
          </cell>
          <cell r="F112">
            <v>28350259476.585091</v>
          </cell>
          <cell r="G112">
            <v>30520380944.13533</v>
          </cell>
          <cell r="H112">
            <v>34907257225.368225</v>
          </cell>
          <cell r="I112">
            <v>32277415320.982948</v>
          </cell>
          <cell r="J112">
            <v>37261044147.576965</v>
          </cell>
          <cell r="K112">
            <v>40278560200.506691</v>
          </cell>
          <cell r="L112">
            <v>40746948796.841339</v>
          </cell>
          <cell r="M112">
            <v>42761290418.348915</v>
          </cell>
          <cell r="N112">
            <v>47485002146.866821</v>
          </cell>
          <cell r="O112">
            <v>49639453168.507454</v>
          </cell>
          <cell r="P112">
            <v>52395188461.899345</v>
          </cell>
          <cell r="Q112">
            <v>52164084218.752747</v>
          </cell>
          <cell r="R112">
            <v>63843359722.792503</v>
          </cell>
          <cell r="S112">
            <v>80855093444.035187</v>
          </cell>
          <cell r="T112">
            <v>98887800680.214798</v>
          </cell>
          <cell r="U112">
            <v>91502332691.859406</v>
          </cell>
          <cell r="V112">
            <v>103027185366.83243</v>
          </cell>
          <cell r="W112">
            <v>120580878439.34694</v>
          </cell>
          <cell r="X112">
            <v>134168317754.7084</v>
          </cell>
          <cell r="Y112">
            <v>150499207820.67142</v>
          </cell>
          <cell r="Z112">
            <v>154584364197.73877</v>
          </cell>
          <cell r="AA112">
            <v>152771439194.22983</v>
          </cell>
          <cell r="AB112">
            <v>148794901041.19238</v>
          </cell>
          <cell r="AC112">
            <v>151191821040.19537</v>
          </cell>
          <cell r="AD112">
            <v>156911943796.00204</v>
          </cell>
          <cell r="AE112">
            <v>176286391575.48734</v>
          </cell>
          <cell r="AF112">
            <v>197350220193.49091</v>
          </cell>
          <cell r="AG112">
            <v>190498314175.03107</v>
          </cell>
          <cell r="AH112">
            <v>199980515581.86194</v>
          </cell>
          <cell r="AI112">
            <v>232630137929.56137</v>
          </cell>
          <cell r="AJ112">
            <v>252280312321.05746</v>
          </cell>
          <cell r="AK112">
            <v>213915982271.23438</v>
          </cell>
          <cell r="AL112">
            <v>220372522126.73486</v>
          </cell>
          <cell r="AM112">
            <v>218693076613.1861</v>
          </cell>
          <cell r="AN112">
            <v>249492463233.90564</v>
          </cell>
          <cell r="AO112">
            <v>283806954525.85541</v>
          </cell>
          <cell r="AP112">
            <v>299523051689.67639</v>
          </cell>
          <cell r="AQ112">
            <v>311717453836.69122</v>
          </cell>
          <cell r="AR112">
            <v>318571678845.32123</v>
          </cell>
          <cell r="AS112">
            <v>347408785784.60468</v>
          </cell>
          <cell r="AT112">
            <v>350282700042.75641</v>
          </cell>
          <cell r="AU112">
            <v>369953470614.08429</v>
          </cell>
          <cell r="AV112">
            <v>409445511985.27563</v>
          </cell>
          <cell r="AW112">
            <v>469274900285.05164</v>
          </cell>
          <cell r="AX112">
            <v>539966731327.013</v>
          </cell>
          <cell r="AY112">
            <v>621350084131.20435</v>
          </cell>
          <cell r="AZ112">
            <v>733404724665.70337</v>
          </cell>
          <cell r="BA112">
            <v>881879617320.9751</v>
          </cell>
          <cell r="BB112">
            <v>909363560234.37476</v>
          </cell>
          <cell r="BC112">
            <v>1035735186761.6259</v>
          </cell>
          <cell r="BD112">
            <v>958377202447.04541</v>
          </cell>
          <cell r="BE112">
            <v>965873002611.24634</v>
          </cell>
          <cell r="BF112">
            <v>1048438662940.6039</v>
          </cell>
          <cell r="BG112">
            <v>1120464227677.3411</v>
          </cell>
          <cell r="BH112">
            <v>1128875314597.2422</v>
          </cell>
          <cell r="BI112">
            <v>1211573767471.7104</v>
          </cell>
          <cell r="BJ112">
            <v>1328753994737.0881</v>
          </cell>
          <cell r="BK112">
            <v>1324642536591.8103</v>
          </cell>
          <cell r="BL112">
            <v>1387560546701.7195</v>
          </cell>
          <cell r="BM112">
            <v>1410929236494.5349</v>
          </cell>
        </row>
        <row r="113">
          <cell r="B113" t="str">
            <v>IMN</v>
          </cell>
          <cell r="C113" t="str">
            <v>GDP (current US$)</v>
          </cell>
          <cell r="D113" t="str">
            <v>NY.GDP.MKTP.CD</v>
          </cell>
          <cell r="AN113">
            <v>914762873.68915319</v>
          </cell>
          <cell r="AO113">
            <v>1023005862.7792743</v>
          </cell>
          <cell r="AP113">
            <v>1180968165.4085984</v>
          </cell>
          <cell r="AQ113">
            <v>1382605389.3205488</v>
          </cell>
          <cell r="AR113">
            <v>1567402513.6964228</v>
          </cell>
          <cell r="AS113">
            <v>1563667799.6157825</v>
          </cell>
          <cell r="AT113">
            <v>1659131243.7383714</v>
          </cell>
          <cell r="AU113">
            <v>1947332921.7471831</v>
          </cell>
          <cell r="AV113">
            <v>2328658227.8481011</v>
          </cell>
          <cell r="AW113">
            <v>2822358473.1698322</v>
          </cell>
          <cell r="AX113">
            <v>3032409189.1187568</v>
          </cell>
          <cell r="AY113">
            <v>3422735301.6939983</v>
          </cell>
          <cell r="AZ113">
            <v>4466353634.8265676</v>
          </cell>
          <cell r="BA113">
            <v>5928788780.5539408</v>
          </cell>
          <cell r="BB113">
            <v>5486918994.7934465</v>
          </cell>
          <cell r="BC113">
            <v>5920366628.3317766</v>
          </cell>
          <cell r="BD113">
            <v>6565668780.7298422</v>
          </cell>
          <cell r="BE113">
            <v>6690228489.4281607</v>
          </cell>
          <cell r="BF113">
            <v>7001180245.7929754</v>
          </cell>
          <cell r="BG113">
            <v>7708459145.004734</v>
          </cell>
          <cell r="BH113">
            <v>7084795708.2686272</v>
          </cell>
          <cell r="BI113">
            <v>6846373276.6206732</v>
          </cell>
          <cell r="BJ113">
            <v>6979791187.0900822</v>
          </cell>
          <cell r="BK113">
            <v>7491654051.0801134</v>
          </cell>
          <cell r="BL113">
            <v>7314966839.1098137</v>
          </cell>
          <cell r="BM113">
            <v>6684229268.5298452</v>
          </cell>
        </row>
        <row r="114">
          <cell r="B114" t="str">
            <v>IND</v>
          </cell>
          <cell r="C114" t="str">
            <v>GDP (current US$)</v>
          </cell>
          <cell r="D114" t="str">
            <v>NY.GDP.MKTP.CD</v>
          </cell>
          <cell r="E114">
            <v>37029883846.930275</v>
          </cell>
          <cell r="F114">
            <v>39232435753.042168</v>
          </cell>
          <cell r="G114">
            <v>42161481824.7743</v>
          </cell>
          <cell r="H114">
            <v>48421923420.870148</v>
          </cell>
          <cell r="I114">
            <v>56480289896.370522</v>
          </cell>
          <cell r="J114">
            <v>59554854575.808487</v>
          </cell>
          <cell r="K114">
            <v>45865462034.285713</v>
          </cell>
          <cell r="L114">
            <v>50134942160.549721</v>
          </cell>
          <cell r="M114">
            <v>53085455824.659271</v>
          </cell>
          <cell r="N114">
            <v>58447994966.678406</v>
          </cell>
          <cell r="O114">
            <v>62422483000.567184</v>
          </cell>
          <cell r="P114">
            <v>67351407965.128098</v>
          </cell>
          <cell r="Q114">
            <v>71463193831.009232</v>
          </cell>
          <cell r="R114">
            <v>85515269585.399963</v>
          </cell>
          <cell r="S114">
            <v>99525899116.05397</v>
          </cell>
          <cell r="T114">
            <v>98472796456.884003</v>
          </cell>
          <cell r="U114">
            <v>102717164466.39742</v>
          </cell>
          <cell r="V114">
            <v>121486645611.52187</v>
          </cell>
          <cell r="W114">
            <v>137300295313.29968</v>
          </cell>
          <cell r="X114">
            <v>152991653793.7695</v>
          </cell>
          <cell r="Y114">
            <v>186325345086.66125</v>
          </cell>
          <cell r="Z114">
            <v>193491373249.40009</v>
          </cell>
          <cell r="AA114">
            <v>200715633588.78906</v>
          </cell>
          <cell r="AB114">
            <v>218262154670.61234</v>
          </cell>
          <cell r="AC114">
            <v>212157639237.20245</v>
          </cell>
          <cell r="AD114">
            <v>232511561180.05667</v>
          </cell>
          <cell r="AE114">
            <v>248985994042.21176</v>
          </cell>
          <cell r="AF114">
            <v>279033584092.22345</v>
          </cell>
          <cell r="AG114">
            <v>296589677725.07416</v>
          </cell>
          <cell r="AH114">
            <v>296042058867.0105</v>
          </cell>
          <cell r="AI114">
            <v>320979026420.0351</v>
          </cell>
          <cell r="AJ114">
            <v>270105341879.22638</v>
          </cell>
          <cell r="AK114">
            <v>288208066640.58398</v>
          </cell>
          <cell r="AL114">
            <v>279295644530.09015</v>
          </cell>
          <cell r="AM114">
            <v>327275583539.55865</v>
          </cell>
          <cell r="AN114">
            <v>360281907854.99371</v>
          </cell>
          <cell r="AO114">
            <v>392896860670.88458</v>
          </cell>
          <cell r="AP114">
            <v>415867567334.18549</v>
          </cell>
          <cell r="AQ114">
            <v>421351318896.8739</v>
          </cell>
          <cell r="AR114">
            <v>458820417337.80707</v>
          </cell>
          <cell r="AS114">
            <v>468394937262.36993</v>
          </cell>
          <cell r="AT114">
            <v>485441014538.63824</v>
          </cell>
          <cell r="AU114">
            <v>514937948870.08038</v>
          </cell>
          <cell r="AV114">
            <v>607699285433.87195</v>
          </cell>
          <cell r="AW114">
            <v>709148514804.65942</v>
          </cell>
          <cell r="AX114">
            <v>820381595512.90161</v>
          </cell>
          <cell r="AY114">
            <v>940259888792.14136</v>
          </cell>
          <cell r="AZ114">
            <v>1216736448906.293</v>
          </cell>
          <cell r="BA114">
            <v>1198895147694.7725</v>
          </cell>
          <cell r="BB114">
            <v>1341888016988.575</v>
          </cell>
          <cell r="BC114">
            <v>1675615502766.2007</v>
          </cell>
          <cell r="BD114">
            <v>1823051829894.5461</v>
          </cell>
          <cell r="BE114">
            <v>1827637579584.7917</v>
          </cell>
          <cell r="BF114">
            <v>1856721494834.6431</v>
          </cell>
          <cell r="BG114">
            <v>2039126469963.3477</v>
          </cell>
          <cell r="BH114">
            <v>2103588347241.7742</v>
          </cell>
          <cell r="BI114">
            <v>2294796889945.0449</v>
          </cell>
          <cell r="BJ114">
            <v>2651474263257.1538</v>
          </cell>
          <cell r="BK114">
            <v>2702929639861.5024</v>
          </cell>
          <cell r="BL114">
            <v>2835606242052.4839</v>
          </cell>
          <cell r="BM114">
            <v>2671595389575.7017</v>
          </cell>
        </row>
        <row r="115">
          <cell r="B115" t="str">
            <v>INX</v>
          </cell>
          <cell r="C115" t="str">
            <v>GDP (current US$)</v>
          </cell>
          <cell r="D115" t="str">
            <v>NY.GDP.MKTP.CD</v>
          </cell>
        </row>
        <row r="116">
          <cell r="B116" t="str">
            <v>IRL</v>
          </cell>
          <cell r="C116" t="str">
            <v>GDP (current US$)</v>
          </cell>
          <cell r="D116" t="str">
            <v>NY.GDP.MKTP.CD</v>
          </cell>
          <cell r="E116">
            <v>1939329775.4373901</v>
          </cell>
          <cell r="F116">
            <v>2088012282.3566668</v>
          </cell>
          <cell r="G116">
            <v>2260349684.086246</v>
          </cell>
          <cell r="H116">
            <v>2430843768.4455333</v>
          </cell>
          <cell r="I116">
            <v>2766608945.874023</v>
          </cell>
          <cell r="J116">
            <v>2945704142.9976544</v>
          </cell>
          <cell r="K116">
            <v>3104034393.2316236</v>
          </cell>
          <cell r="L116">
            <v>3343636773.3675852</v>
          </cell>
          <cell r="M116">
            <v>3278584478.3302269</v>
          </cell>
          <cell r="N116">
            <v>3787077343.7278252</v>
          </cell>
          <cell r="O116">
            <v>4395995085.9950857</v>
          </cell>
          <cell r="P116">
            <v>5098250287.4664621</v>
          </cell>
          <cell r="Q116">
            <v>6318060582.2187262</v>
          </cell>
          <cell r="R116">
            <v>7481173065.7920122</v>
          </cell>
          <cell r="S116">
            <v>7896860614.9880314</v>
          </cell>
          <cell r="T116">
            <v>9483808362.369339</v>
          </cell>
          <cell r="U116">
            <v>9453756014.7183704</v>
          </cell>
          <cell r="V116">
            <v>11248340431.377937</v>
          </cell>
          <cell r="W116">
            <v>14647996073.693748</v>
          </cell>
          <cell r="X116">
            <v>18319334300.451324</v>
          </cell>
          <cell r="Y116">
            <v>21747855640.071209</v>
          </cell>
          <cell r="Z116">
            <v>20670190138.167068</v>
          </cell>
          <cell r="AA116">
            <v>21474752962.217751</v>
          </cell>
          <cell r="AB116">
            <v>20766047763.531368</v>
          </cell>
          <cell r="AC116">
            <v>20106648454.840363</v>
          </cell>
          <cell r="AD116">
            <v>21270013325.560089</v>
          </cell>
          <cell r="AE116">
            <v>28714571852.479866</v>
          </cell>
          <cell r="AF116">
            <v>33920518492.509361</v>
          </cell>
          <cell r="AG116">
            <v>37772896220.755852</v>
          </cell>
          <cell r="AH116">
            <v>39238392677.754211</v>
          </cell>
          <cell r="AI116">
            <v>49305632408.492897</v>
          </cell>
          <cell r="AJ116">
            <v>49787501584.484726</v>
          </cell>
          <cell r="AK116">
            <v>55918538121.398903</v>
          </cell>
          <cell r="AL116">
            <v>52417477613.67601</v>
          </cell>
          <cell r="AM116">
            <v>57097656065.959953</v>
          </cell>
          <cell r="AN116">
            <v>69139823232.323227</v>
          </cell>
          <cell r="AO116">
            <v>75790786290.322586</v>
          </cell>
          <cell r="AP116">
            <v>82856648758.357208</v>
          </cell>
          <cell r="AQ116">
            <v>90199410115.509689</v>
          </cell>
          <cell r="AR116">
            <v>98893958262.643845</v>
          </cell>
          <cell r="AS116">
            <v>100207610429.90924</v>
          </cell>
          <cell r="AT116">
            <v>109346669229.6954</v>
          </cell>
          <cell r="AU116">
            <v>128596035288.40102</v>
          </cell>
          <cell r="AV116">
            <v>164670771259.60202</v>
          </cell>
          <cell r="AW116">
            <v>194372115041.06497</v>
          </cell>
          <cell r="AX116">
            <v>211876989655.90652</v>
          </cell>
          <cell r="AY116">
            <v>232180617162.2785</v>
          </cell>
          <cell r="AZ116">
            <v>270079279419.50046</v>
          </cell>
          <cell r="BA116">
            <v>275447471451.06323</v>
          </cell>
          <cell r="BB116">
            <v>236443115853.69476</v>
          </cell>
          <cell r="BC116">
            <v>221913560882.37238</v>
          </cell>
          <cell r="BD116">
            <v>239003132208.13443</v>
          </cell>
          <cell r="BE116">
            <v>225628699652.99301</v>
          </cell>
          <cell r="BF116">
            <v>238340859896.93903</v>
          </cell>
          <cell r="BG116">
            <v>259170903647.53183</v>
          </cell>
          <cell r="BH116">
            <v>291775166506.89124</v>
          </cell>
          <cell r="BI116">
            <v>299091127524.51331</v>
          </cell>
          <cell r="BJ116">
            <v>336377500160.5495</v>
          </cell>
          <cell r="BK116">
            <v>385736680797.11127</v>
          </cell>
          <cell r="BL116">
            <v>399321701632.42358</v>
          </cell>
          <cell r="BM116">
            <v>425852281928.11371</v>
          </cell>
        </row>
        <row r="117">
          <cell r="B117" t="str">
            <v>IRN</v>
          </cell>
          <cell r="C117" t="str">
            <v>GDP (current US$)</v>
          </cell>
          <cell r="D117" t="str">
            <v>NY.GDP.MKTP.CD</v>
          </cell>
          <cell r="E117">
            <v>4199134385.7045617</v>
          </cell>
          <cell r="F117">
            <v>4426949090.4133549</v>
          </cell>
          <cell r="G117">
            <v>4693566411.7898932</v>
          </cell>
          <cell r="H117">
            <v>4928628013.4589634</v>
          </cell>
          <cell r="I117">
            <v>5379845642.3215399</v>
          </cell>
          <cell r="J117">
            <v>6197319922.8430634</v>
          </cell>
          <cell r="K117">
            <v>6789938664.9610062</v>
          </cell>
          <cell r="L117">
            <v>7555383682.6046171</v>
          </cell>
          <cell r="M117">
            <v>8623172951.2748604</v>
          </cell>
          <cell r="N117">
            <v>9743089597.752779</v>
          </cell>
          <cell r="O117">
            <v>10976245142.613142</v>
          </cell>
          <cell r="P117">
            <v>13731802908.42436</v>
          </cell>
          <cell r="Q117">
            <v>17153463263.108646</v>
          </cell>
          <cell r="R117">
            <v>27081698249.508286</v>
          </cell>
          <cell r="S117">
            <v>46209092072.138268</v>
          </cell>
          <cell r="T117">
            <v>51776222349.886902</v>
          </cell>
          <cell r="U117">
            <v>68055295080.753807</v>
          </cell>
          <cell r="V117">
            <v>80600122701.963196</v>
          </cell>
          <cell r="W117">
            <v>77994316621.481384</v>
          </cell>
          <cell r="X117">
            <v>90391877325.928497</v>
          </cell>
          <cell r="Y117">
            <v>94362275580.022903</v>
          </cell>
          <cell r="Z117">
            <v>100499312749.92252</v>
          </cell>
          <cell r="AA117">
            <v>125948756439.48515</v>
          </cell>
          <cell r="AB117">
            <v>156365156618.24072</v>
          </cell>
          <cell r="AC117">
            <v>162276728619.51862</v>
          </cell>
          <cell r="AD117">
            <v>180183629599.68427</v>
          </cell>
          <cell r="AE117">
            <v>209094561833.48007</v>
          </cell>
          <cell r="AF117">
            <v>134009995923.16888</v>
          </cell>
          <cell r="AG117">
            <v>123057861333.90797</v>
          </cell>
          <cell r="AH117">
            <v>120496362916.27124</v>
          </cell>
          <cell r="AI117">
            <v>124813263926.22499</v>
          </cell>
          <cell r="AL117">
            <v>63743623232.012009</v>
          </cell>
          <cell r="AM117">
            <v>71841461172.59639</v>
          </cell>
          <cell r="AN117">
            <v>96419225743.673676</v>
          </cell>
          <cell r="AO117">
            <v>120403931885.44078</v>
          </cell>
          <cell r="AP117">
            <v>113919163421.15488</v>
          </cell>
          <cell r="AQ117">
            <v>110276913362.5078</v>
          </cell>
          <cell r="AR117">
            <v>113848450088.35091</v>
          </cell>
          <cell r="AS117">
            <v>109591707802.21602</v>
          </cell>
          <cell r="AT117">
            <v>126878750295.94432</v>
          </cell>
          <cell r="AU117">
            <v>128626917503.71953</v>
          </cell>
          <cell r="AV117">
            <v>153544751395.43008</v>
          </cell>
          <cell r="AW117">
            <v>190043433964.84137</v>
          </cell>
          <cell r="AX117">
            <v>226452138291.54214</v>
          </cell>
          <cell r="AY117">
            <v>266298911661.14447</v>
          </cell>
          <cell r="AZ117">
            <v>349881601458.56036</v>
          </cell>
          <cell r="BA117">
            <v>412336172446.84943</v>
          </cell>
          <cell r="BB117">
            <v>416397025729.36102</v>
          </cell>
          <cell r="BC117">
            <v>486807616896.70306</v>
          </cell>
          <cell r="BD117">
            <v>626133112211.11096</v>
          </cell>
          <cell r="BE117">
            <v>644035512198.99182</v>
          </cell>
          <cell r="BF117">
            <v>492775566435.17584</v>
          </cell>
          <cell r="BG117">
            <v>460382791488.62628</v>
          </cell>
          <cell r="BH117">
            <v>408212917871.72485</v>
          </cell>
          <cell r="BI117">
            <v>457954614595.2395</v>
          </cell>
          <cell r="BJ117">
            <v>486630147094.68951</v>
          </cell>
          <cell r="BK117">
            <v>327900695065.85345</v>
          </cell>
          <cell r="BL117">
            <v>283649531542.6308</v>
          </cell>
          <cell r="BM117">
            <v>239735486745.7037</v>
          </cell>
        </row>
        <row r="118">
          <cell r="B118" t="str">
            <v>IRQ</v>
          </cell>
          <cell r="C118" t="str">
            <v>GDP (current US$)</v>
          </cell>
          <cell r="D118" t="str">
            <v>NY.GDP.MKTP.CD</v>
          </cell>
          <cell r="E118">
            <v>1683918769.4635453</v>
          </cell>
          <cell r="F118">
            <v>1831479830.7047307</v>
          </cell>
          <cell r="G118">
            <v>1954399501.7581177</v>
          </cell>
          <cell r="H118">
            <v>1978199492.2809613</v>
          </cell>
          <cell r="I118">
            <v>2340239348.1166906</v>
          </cell>
          <cell r="M118">
            <v>2896598846.574338</v>
          </cell>
          <cell r="N118">
            <v>3007758802.3104439</v>
          </cell>
          <cell r="O118">
            <v>3281318693.3788948</v>
          </cell>
          <cell r="P118">
            <v>3865346534.6534657</v>
          </cell>
          <cell r="Q118">
            <v>4113848002.4031243</v>
          </cell>
          <cell r="R118">
            <v>5134367778.1446018</v>
          </cell>
          <cell r="S118">
            <v>11516762614.290552</v>
          </cell>
          <cell r="T118">
            <v>13458516762.61429</v>
          </cell>
          <cell r="U118">
            <v>17754825601.083645</v>
          </cell>
          <cell r="V118">
            <v>19838130714.527599</v>
          </cell>
          <cell r="W118">
            <v>23762275651.879444</v>
          </cell>
          <cell r="X118">
            <v>37816457839.485268</v>
          </cell>
          <cell r="Y118">
            <v>52569000000</v>
          </cell>
          <cell r="Z118">
            <v>37823000000</v>
          </cell>
          <cell r="AA118">
            <v>42382333333.333336</v>
          </cell>
          <cell r="AB118">
            <v>40712903225.80645</v>
          </cell>
          <cell r="AC118">
            <v>46938387096.774193</v>
          </cell>
          <cell r="AD118">
            <v>48425161290.322578</v>
          </cell>
          <cell r="AE118">
            <v>47264516129.032257</v>
          </cell>
          <cell r="AF118">
            <v>56774193548.3871</v>
          </cell>
          <cell r="AG118">
            <v>62684516129.032257</v>
          </cell>
          <cell r="AH118">
            <v>65831935483.870972</v>
          </cell>
          <cell r="AI118">
            <v>180408064516.12903</v>
          </cell>
          <cell r="AJ118">
            <v>407796349.66378486</v>
          </cell>
          <cell r="AK118">
            <v>553671957.67195761</v>
          </cell>
          <cell r="AL118">
            <v>1031944881.1318939</v>
          </cell>
          <cell r="AM118">
            <v>3991349282.7572927</v>
          </cell>
          <cell r="AN118">
            <v>12894029888.112158</v>
          </cell>
          <cell r="AO118">
            <v>10433698621.342705</v>
          </cell>
          <cell r="AP118">
            <v>20764857056.379494</v>
          </cell>
          <cell r="AQ118">
            <v>20617405044.242462</v>
          </cell>
          <cell r="AR118">
            <v>36881601583.819359</v>
          </cell>
          <cell r="AS118">
            <v>48364250943.905067</v>
          </cell>
          <cell r="AT118">
            <v>36176430128.805725</v>
          </cell>
          <cell r="AU118">
            <v>32928454672.424591</v>
          </cell>
          <cell r="AV118">
            <v>21921569478.816261</v>
          </cell>
          <cell r="AW118">
            <v>36627901762.063011</v>
          </cell>
          <cell r="AX118">
            <v>49954890353.260872</v>
          </cell>
          <cell r="AY118">
            <v>65140147197.121475</v>
          </cell>
          <cell r="AZ118">
            <v>88837055195.261948</v>
          </cell>
          <cell r="BA118">
            <v>131614433712.24457</v>
          </cell>
          <cell r="BB118">
            <v>111657581662.34955</v>
          </cell>
          <cell r="BC118">
            <v>138516722649.57266</v>
          </cell>
          <cell r="BD118">
            <v>185749664444.44446</v>
          </cell>
          <cell r="BE118">
            <v>218002481737.69147</v>
          </cell>
          <cell r="BF118">
            <v>234637675128.64493</v>
          </cell>
          <cell r="BG118">
            <v>228415656174.95712</v>
          </cell>
          <cell r="BH118">
            <v>166774104911.47961</v>
          </cell>
          <cell r="BI118">
            <v>166602488747.88495</v>
          </cell>
          <cell r="BJ118">
            <v>187217660050.67569</v>
          </cell>
          <cell r="BK118">
            <v>227367469034.03085</v>
          </cell>
          <cell r="BL118">
            <v>233636097800.33844</v>
          </cell>
          <cell r="BM118">
            <v>180924091442.95303</v>
          </cell>
        </row>
        <row r="119">
          <cell r="B119" t="str">
            <v>ISL</v>
          </cell>
          <cell r="C119" t="str">
            <v>GDP (current US$)</v>
          </cell>
          <cell r="D119" t="str">
            <v>NY.GDP.MKTP.CD</v>
          </cell>
          <cell r="E119">
            <v>248434274.50325158</v>
          </cell>
          <cell r="F119">
            <v>253885451.99057224</v>
          </cell>
          <cell r="G119">
            <v>284916520.94716787</v>
          </cell>
          <cell r="H119">
            <v>340061655.83416659</v>
          </cell>
          <cell r="I119">
            <v>434267944.21185923</v>
          </cell>
          <cell r="J119">
            <v>523694958.17066306</v>
          </cell>
          <cell r="K119">
            <v>628893320.9676137</v>
          </cell>
          <cell r="L119">
            <v>621225998.64132655</v>
          </cell>
          <cell r="M119">
            <v>474399519.59457046</v>
          </cell>
          <cell r="N119">
            <v>414709309.10591495</v>
          </cell>
          <cell r="O119">
            <v>526704545.47360379</v>
          </cell>
          <cell r="P119">
            <v>670251136.44933867</v>
          </cell>
          <cell r="Q119">
            <v>839648790.66907549</v>
          </cell>
          <cell r="R119">
            <v>1154386886.4025817</v>
          </cell>
          <cell r="S119">
            <v>1515165330.1613495</v>
          </cell>
          <cell r="T119">
            <v>1406875081.327261</v>
          </cell>
          <cell r="U119">
            <v>1669473116.2875803</v>
          </cell>
          <cell r="V119">
            <v>2208509076.6389999</v>
          </cell>
          <cell r="W119">
            <v>2511818475.6276617</v>
          </cell>
          <cell r="X119">
            <v>2853435054.3444242</v>
          </cell>
          <cell r="Y119">
            <v>3381389884.807178</v>
          </cell>
          <cell r="Z119">
            <v>3493005069.1071911</v>
          </cell>
          <cell r="AA119">
            <v>3206617990.900228</v>
          </cell>
          <cell r="AB119">
            <v>2765954047.0882387</v>
          </cell>
          <cell r="AC119">
            <v>2864437621.6606441</v>
          </cell>
          <cell r="AD119">
            <v>2984054752.9372058</v>
          </cell>
          <cell r="AE119">
            <v>3989626783.5026455</v>
          </cell>
          <cell r="AF119">
            <v>5520320783.4420938</v>
          </cell>
          <cell r="AG119">
            <v>6106638182.3895302</v>
          </cell>
          <cell r="AH119">
            <v>5672570277.7860937</v>
          </cell>
          <cell r="AI119">
            <v>6468739130.22964</v>
          </cell>
          <cell r="AJ119">
            <v>6909725408.1149902</v>
          </cell>
          <cell r="AK119">
            <v>7080977636.4156675</v>
          </cell>
          <cell r="AL119">
            <v>6218583218.0630322</v>
          </cell>
          <cell r="AM119">
            <v>6389462322.0493774</v>
          </cell>
          <cell r="AN119">
            <v>7123637088.754343</v>
          </cell>
          <cell r="AO119">
            <v>7426082270.676692</v>
          </cell>
          <cell r="AP119">
            <v>7569673903.9617863</v>
          </cell>
          <cell r="AQ119">
            <v>8503689103.9342375</v>
          </cell>
          <cell r="AR119">
            <v>8982048417.305563</v>
          </cell>
          <cell r="AS119">
            <v>9025660361.7584209</v>
          </cell>
          <cell r="AT119">
            <v>8234846522.8547192</v>
          </cell>
          <cell r="AU119">
            <v>9318398443.5514622</v>
          </cell>
          <cell r="AV119">
            <v>11429335645.274658</v>
          </cell>
          <cell r="AW119">
            <v>13825309101.270323</v>
          </cell>
          <cell r="AX119">
            <v>16852971986.556927</v>
          </cell>
          <cell r="AY119">
            <v>17465318552.294098</v>
          </cell>
          <cell r="AZ119">
            <v>21652505596.752789</v>
          </cell>
          <cell r="BA119">
            <v>18074619561.767139</v>
          </cell>
          <cell r="BB119">
            <v>13154416196.752424</v>
          </cell>
          <cell r="BC119">
            <v>13751161917.739773</v>
          </cell>
          <cell r="BD119">
            <v>15221622925.931889</v>
          </cell>
          <cell r="BE119">
            <v>14751508133.544277</v>
          </cell>
          <cell r="BF119">
            <v>16125060515.311741</v>
          </cell>
          <cell r="BG119">
            <v>17867662177.891129</v>
          </cell>
          <cell r="BH119">
            <v>17517210519.091156</v>
          </cell>
          <cell r="BI119">
            <v>20793168030.952427</v>
          </cell>
          <cell r="BJ119">
            <v>24728285177.460316</v>
          </cell>
          <cell r="BK119">
            <v>26260850582.06868</v>
          </cell>
          <cell r="BL119">
            <v>24663643101.958004</v>
          </cell>
          <cell r="BM119">
            <v>21553080483.813221</v>
          </cell>
        </row>
        <row r="120">
          <cell r="B120" t="str">
            <v>ISR</v>
          </cell>
          <cell r="C120" t="str">
            <v>GDP (current US$)</v>
          </cell>
          <cell r="D120" t="str">
            <v>NY.GDP.MKTP.CD</v>
          </cell>
          <cell r="E120">
            <v>2887228551.9474158</v>
          </cell>
          <cell r="F120">
            <v>3487229867.3415294</v>
          </cell>
          <cell r="G120">
            <v>2596557416.0721793</v>
          </cell>
          <cell r="H120">
            <v>2992339892.8311195</v>
          </cell>
          <cell r="I120">
            <v>3405340798.1689558</v>
          </cell>
          <cell r="J120">
            <v>3663341363.731091</v>
          </cell>
          <cell r="K120">
            <v>3980008724.5631685</v>
          </cell>
          <cell r="L120">
            <v>3921089676.4526896</v>
          </cell>
          <cell r="M120">
            <v>3959151535.796524</v>
          </cell>
          <cell r="N120">
            <v>4568010013.3012075</v>
          </cell>
          <cell r="AN120">
            <v>104893245478.82266</v>
          </cell>
          <cell r="AO120">
            <v>114507654661.38203</v>
          </cell>
          <cell r="AP120">
            <v>118861100787.10481</v>
          </cell>
          <cell r="AQ120">
            <v>120057482023.38112</v>
          </cell>
          <cell r="AR120">
            <v>120922450570.28853</v>
          </cell>
          <cell r="AS120">
            <v>136034659581.42587</v>
          </cell>
          <cell r="AT120">
            <v>134637422752.72549</v>
          </cell>
          <cell r="AU120">
            <v>125059962957.68628</v>
          </cell>
          <cell r="AV120">
            <v>131298954868.83719</v>
          </cell>
          <cell r="AW120">
            <v>139973668874.27078</v>
          </cell>
          <cell r="AX120">
            <v>147083996033.60297</v>
          </cell>
          <cell r="AY120">
            <v>158670160184.1792</v>
          </cell>
          <cell r="AZ120">
            <v>184052885585.91214</v>
          </cell>
          <cell r="BA120">
            <v>220529762562.36237</v>
          </cell>
          <cell r="BB120">
            <v>211968128528.44376</v>
          </cell>
          <cell r="BC120">
            <v>238364092298.02286</v>
          </cell>
          <cell r="BD120">
            <v>266791854430.89716</v>
          </cell>
          <cell r="BE120">
            <v>262282344091.84918</v>
          </cell>
          <cell r="BF120">
            <v>297732778479.1286</v>
          </cell>
          <cell r="BG120">
            <v>314330061977.26337</v>
          </cell>
          <cell r="BH120">
            <v>303414276832.04004</v>
          </cell>
          <cell r="BI120">
            <v>322102790386.83502</v>
          </cell>
          <cell r="BJ120">
            <v>358245427458.54095</v>
          </cell>
          <cell r="BK120">
            <v>376691526553.27637</v>
          </cell>
          <cell r="BL120">
            <v>402470513619.14801</v>
          </cell>
          <cell r="BM120">
            <v>413267669231.52216</v>
          </cell>
        </row>
        <row r="121">
          <cell r="B121" t="str">
            <v>ITA</v>
          </cell>
          <cell r="C121" t="str">
            <v>GDP (current US$)</v>
          </cell>
          <cell r="D121" t="str">
            <v>NY.GDP.MKTP.CD</v>
          </cell>
          <cell r="E121">
            <v>40385288344.191147</v>
          </cell>
          <cell r="F121">
            <v>44842760293.192383</v>
          </cell>
          <cell r="G121">
            <v>50383891898.991119</v>
          </cell>
          <cell r="H121">
            <v>57710743059.834145</v>
          </cell>
          <cell r="I121">
            <v>63175417019.009407</v>
          </cell>
          <cell r="J121">
            <v>67978153850.519081</v>
          </cell>
          <cell r="K121">
            <v>73654870011.275742</v>
          </cell>
          <cell r="L121">
            <v>81133120065.420242</v>
          </cell>
          <cell r="M121">
            <v>87942231678.350525</v>
          </cell>
          <cell r="N121">
            <v>97085082807.375092</v>
          </cell>
          <cell r="O121">
            <v>113395315985.13013</v>
          </cell>
          <cell r="P121">
            <v>124672365792.75905</v>
          </cell>
          <cell r="Q121">
            <v>145260039840.63745</v>
          </cell>
          <cell r="R121">
            <v>175492055795.41681</v>
          </cell>
          <cell r="S121">
            <v>199564489431.37839</v>
          </cell>
          <cell r="T121">
            <v>227695851126.92764</v>
          </cell>
          <cell r="U121">
            <v>224717278436.84576</v>
          </cell>
          <cell r="V121">
            <v>257596313364.0553</v>
          </cell>
          <cell r="W121">
            <v>315058323066.39288</v>
          </cell>
          <cell r="X121">
            <v>393677161500.81567</v>
          </cell>
          <cell r="Y121">
            <v>477256775943.92944</v>
          </cell>
          <cell r="Z121">
            <v>430702851303.01483</v>
          </cell>
          <cell r="AA121">
            <v>427272645669.29132</v>
          </cell>
          <cell r="AB121">
            <v>443042373788.88324</v>
          </cell>
          <cell r="AC121">
            <v>437887689001.54291</v>
          </cell>
          <cell r="AD121">
            <v>452217492140.75653</v>
          </cell>
          <cell r="AE121">
            <v>640386352773.0874</v>
          </cell>
          <cell r="AF121">
            <v>805713128174.48462</v>
          </cell>
          <cell r="AG121">
            <v>891608957155.6084</v>
          </cell>
          <cell r="AH121">
            <v>928661332204.34656</v>
          </cell>
          <cell r="AI121">
            <v>1181222653522.9475</v>
          </cell>
          <cell r="AJ121">
            <v>1246220156079.2881</v>
          </cell>
          <cell r="AK121">
            <v>1320161644933.2288</v>
          </cell>
          <cell r="AL121">
            <v>1064958075550.6337</v>
          </cell>
          <cell r="AM121">
            <v>1099216688280.4995</v>
          </cell>
          <cell r="AN121">
            <v>1174662070605.0159</v>
          </cell>
          <cell r="AO121">
            <v>1312426527795.2063</v>
          </cell>
          <cell r="AP121">
            <v>1241879604365.6206</v>
          </cell>
          <cell r="AQ121">
            <v>1270052525928.4041</v>
          </cell>
          <cell r="AR121">
            <v>1252446659833.7866</v>
          </cell>
          <cell r="AS121">
            <v>1146676894209.728</v>
          </cell>
          <cell r="AT121">
            <v>1168023426056.3794</v>
          </cell>
          <cell r="AU121">
            <v>1276769338449.2964</v>
          </cell>
          <cell r="AV121">
            <v>1577621707050.5066</v>
          </cell>
          <cell r="AW121">
            <v>1806542968545.5645</v>
          </cell>
          <cell r="AX121">
            <v>1858217147203.7346</v>
          </cell>
          <cell r="AY121">
            <v>1949551719389.6443</v>
          </cell>
          <cell r="AZ121">
            <v>2213102482751.458</v>
          </cell>
          <cell r="BA121">
            <v>2408655348718.5933</v>
          </cell>
          <cell r="BB121">
            <v>2199928804118.6313</v>
          </cell>
          <cell r="BC121">
            <v>2136099955236.7217</v>
          </cell>
          <cell r="BD121">
            <v>2294994296589.5146</v>
          </cell>
          <cell r="BE121">
            <v>2086957656821.6021</v>
          </cell>
          <cell r="BF121">
            <v>2141924094298.572</v>
          </cell>
          <cell r="BG121">
            <v>2162009615996.5071</v>
          </cell>
          <cell r="BH121">
            <v>1836637711060.5459</v>
          </cell>
          <cell r="BI121">
            <v>1877071687633.8308</v>
          </cell>
          <cell r="BJ121">
            <v>1961796197354.374</v>
          </cell>
          <cell r="BK121">
            <v>2091932426266.9417</v>
          </cell>
          <cell r="BL121">
            <v>2011302198827.4119</v>
          </cell>
          <cell r="BM121">
            <v>1897210466667.5215</v>
          </cell>
        </row>
        <row r="122">
          <cell r="B122" t="str">
            <v>JAM</v>
          </cell>
          <cell r="C122" t="str">
            <v>GDP (current US$)</v>
          </cell>
          <cell r="D122" t="str">
            <v>NY.GDP.MKTP.CD</v>
          </cell>
          <cell r="E122">
            <v>699064380.79368591</v>
          </cell>
          <cell r="F122">
            <v>748043501.23142517</v>
          </cell>
          <cell r="G122">
            <v>777727689.3755604</v>
          </cell>
          <cell r="H122">
            <v>826706669.81335557</v>
          </cell>
          <cell r="I122">
            <v>897949001.35916829</v>
          </cell>
          <cell r="J122">
            <v>972159611.71945047</v>
          </cell>
          <cell r="K122">
            <v>1096759561.9542303</v>
          </cell>
          <cell r="L122">
            <v>1148014311.5457561</v>
          </cell>
          <cell r="M122">
            <v>1083839133.1454604</v>
          </cell>
          <cell r="N122">
            <v>1191239404.6185446</v>
          </cell>
          <cell r="O122">
            <v>1404720442.1691215</v>
          </cell>
          <cell r="P122">
            <v>1539862278.3269949</v>
          </cell>
          <cell r="Q122">
            <v>1875146587.4442966</v>
          </cell>
          <cell r="R122">
            <v>1905917553.1914895</v>
          </cell>
          <cell r="S122">
            <v>2375122375.122375</v>
          </cell>
          <cell r="T122">
            <v>2860442750.4427505</v>
          </cell>
          <cell r="U122">
            <v>2966042856.0428562</v>
          </cell>
          <cell r="V122">
            <v>3249733139.73314</v>
          </cell>
          <cell r="W122">
            <v>2644527198.2554317</v>
          </cell>
          <cell r="X122">
            <v>2425063771.9090505</v>
          </cell>
          <cell r="Y122">
            <v>2679379373.0166831</v>
          </cell>
          <cell r="Z122">
            <v>2979027968.1260052</v>
          </cell>
          <cell r="AA122">
            <v>3293496313.7797356</v>
          </cell>
          <cell r="AB122">
            <v>3619261342.7935834</v>
          </cell>
          <cell r="AC122">
            <v>2373564449.3105183</v>
          </cell>
          <cell r="AD122">
            <v>2100238892.9413712</v>
          </cell>
          <cell r="AE122">
            <v>2754549414.3480473</v>
          </cell>
          <cell r="AF122">
            <v>3287007521.2636676</v>
          </cell>
          <cell r="AG122">
            <v>3828342704.0970845</v>
          </cell>
          <cell r="AH122">
            <v>4404938108.9914198</v>
          </cell>
          <cell r="AI122">
            <v>4592208086.6923485</v>
          </cell>
          <cell r="AJ122">
            <v>4106207649.0554743</v>
          </cell>
          <cell r="AK122">
            <v>3535460089.807189</v>
          </cell>
          <cell r="AL122">
            <v>5440075675.740674</v>
          </cell>
          <cell r="AM122">
            <v>5452558892.0971498</v>
          </cell>
          <cell r="AN122">
            <v>6577520705.2126846</v>
          </cell>
          <cell r="AO122">
            <v>7393891854.4064999</v>
          </cell>
          <cell r="AP122">
            <v>8400041802.6350641</v>
          </cell>
          <cell r="AQ122">
            <v>8787195622.4350204</v>
          </cell>
          <cell r="AR122">
            <v>8887058073.2353706</v>
          </cell>
          <cell r="AS122">
            <v>9005064474.9300346</v>
          </cell>
          <cell r="AT122">
            <v>9194727831.073185</v>
          </cell>
          <cell r="AU122">
            <v>9719009561.7610741</v>
          </cell>
          <cell r="AV122">
            <v>9430234851.6158371</v>
          </cell>
          <cell r="AW122">
            <v>10174664853.947565</v>
          </cell>
          <cell r="AX122">
            <v>11243865787.807919</v>
          </cell>
          <cell r="AY122">
            <v>11930179173.416782</v>
          </cell>
          <cell r="AZ122">
            <v>12799600075.040655</v>
          </cell>
          <cell r="BA122">
            <v>13709401443.501633</v>
          </cell>
          <cell r="BB122">
            <v>12120458140.942377</v>
          </cell>
          <cell r="BC122">
            <v>13220549858.201405</v>
          </cell>
          <cell r="BD122">
            <v>14444661488.129597</v>
          </cell>
          <cell r="BE122">
            <v>14807086490.853287</v>
          </cell>
          <cell r="BF122">
            <v>14264205123.688646</v>
          </cell>
          <cell r="BG122">
            <v>13899225339.691719</v>
          </cell>
          <cell r="BH122">
            <v>14188938780.503866</v>
          </cell>
          <cell r="BI122">
            <v>14077105502.917534</v>
          </cell>
          <cell r="BJ122">
            <v>14808984880.579573</v>
          </cell>
          <cell r="BK122">
            <v>15730791525.650032</v>
          </cell>
          <cell r="BL122">
            <v>15830766372.265081</v>
          </cell>
          <cell r="BM122">
            <v>13812421859.402554</v>
          </cell>
        </row>
        <row r="123">
          <cell r="B123" t="str">
            <v>JOR</v>
          </cell>
          <cell r="C123" t="str">
            <v>GDP (current US$)</v>
          </cell>
          <cell r="D123" t="str">
            <v>NY.GDP.MKTP.CD</v>
          </cell>
          <cell r="J123">
            <v>599759761.17566288</v>
          </cell>
          <cell r="K123">
            <v>657999737.9845041</v>
          </cell>
          <cell r="L123">
            <v>631679748.46512389</v>
          </cell>
          <cell r="M123">
            <v>561119776.5621047</v>
          </cell>
          <cell r="N123">
            <v>698879721.7060945</v>
          </cell>
          <cell r="O123">
            <v>639519745.34323716</v>
          </cell>
          <cell r="P123">
            <v>678159730.01330864</v>
          </cell>
          <cell r="Q123">
            <v>788479129.8268472</v>
          </cell>
          <cell r="R123">
            <v>943784219.01109922</v>
          </cell>
          <cell r="S123">
            <v>1197485191.6819272</v>
          </cell>
          <cell r="T123">
            <v>1363074922.8291578</v>
          </cell>
          <cell r="U123">
            <v>1708519509.1375675</v>
          </cell>
          <cell r="V123">
            <v>2096780731.2111156</v>
          </cell>
          <cell r="W123">
            <v>2602208597.4714389</v>
          </cell>
          <cell r="X123">
            <v>3271365160.7259698</v>
          </cell>
          <cell r="Y123">
            <v>3910044487.4046969</v>
          </cell>
          <cell r="Z123">
            <v>4383940293.707077</v>
          </cell>
          <cell r="AA123">
            <v>4681245432.7939024</v>
          </cell>
          <cell r="AB123">
            <v>4920689945.7299852</v>
          </cell>
          <cell r="AC123">
            <v>4967162167.9411898</v>
          </cell>
          <cell r="AD123">
            <v>4993601523.5942993</v>
          </cell>
          <cell r="AE123">
            <v>6402053536.8462353</v>
          </cell>
          <cell r="AF123">
            <v>6756214752.9056349</v>
          </cell>
          <cell r="AG123">
            <v>6277443443.2963533</v>
          </cell>
          <cell r="AH123">
            <v>4221374898.2945418</v>
          </cell>
          <cell r="AI123">
            <v>4160089597.1393175</v>
          </cell>
          <cell r="AJ123">
            <v>4344468256.7172461</v>
          </cell>
          <cell r="AK123">
            <v>5310830589.5447588</v>
          </cell>
          <cell r="AL123">
            <v>5606401570.3235817</v>
          </cell>
          <cell r="AM123">
            <v>6236295978.2453127</v>
          </cell>
          <cell r="AN123">
            <v>6727597031.9634705</v>
          </cell>
          <cell r="AO123">
            <v>6927503526.0930891</v>
          </cell>
          <cell r="AP123">
            <v>7245839210.1551485</v>
          </cell>
          <cell r="AQ123">
            <v>7912270803.9492245</v>
          </cell>
          <cell r="AR123">
            <v>8149929478.1382236</v>
          </cell>
          <cell r="AS123">
            <v>8460789844.8519049</v>
          </cell>
          <cell r="AT123">
            <v>8975812449.1140747</v>
          </cell>
          <cell r="AU123">
            <v>9582512830.8680878</v>
          </cell>
          <cell r="AV123">
            <v>10195627644.569817</v>
          </cell>
          <cell r="AW123">
            <v>11411706629.055008</v>
          </cell>
          <cell r="AX123">
            <v>12588998589.562765</v>
          </cell>
          <cell r="AY123">
            <v>15056981664.315939</v>
          </cell>
          <cell r="AZ123">
            <v>17110442866.62435</v>
          </cell>
          <cell r="BA123">
            <v>22658730357.236084</v>
          </cell>
          <cell r="BB123">
            <v>24537876056.338028</v>
          </cell>
          <cell r="BC123">
            <v>27133804225.352116</v>
          </cell>
          <cell r="BD123">
            <v>29524149154.929581</v>
          </cell>
          <cell r="BE123">
            <v>31634561690.140846</v>
          </cell>
          <cell r="BF123">
            <v>34454440140.84507</v>
          </cell>
          <cell r="BG123">
            <v>36847643521.126762</v>
          </cell>
          <cell r="BH123">
            <v>38587017887.323944</v>
          </cell>
          <cell r="BI123">
            <v>39892551126.760567</v>
          </cell>
          <cell r="BJ123">
            <v>41608435915.492958</v>
          </cell>
          <cell r="BK123">
            <v>43370860704.225357</v>
          </cell>
          <cell r="BL123">
            <v>44503005774.647888</v>
          </cell>
          <cell r="BM123">
            <v>43579916197.183098</v>
          </cell>
        </row>
        <row r="124">
          <cell r="B124" t="str">
            <v>JPN</v>
          </cell>
          <cell r="C124" t="str">
            <v>GDP (current US$)</v>
          </cell>
          <cell r="D124" t="str">
            <v>NY.GDP.MKTP.CD</v>
          </cell>
          <cell r="E124">
            <v>44307342906.215729</v>
          </cell>
          <cell r="F124">
            <v>53508617686.017792</v>
          </cell>
          <cell r="G124">
            <v>60723018623.178986</v>
          </cell>
          <cell r="H124">
            <v>69498131728.028244</v>
          </cell>
          <cell r="I124">
            <v>81749006299.989182</v>
          </cell>
          <cell r="J124">
            <v>90950278167.080139</v>
          </cell>
          <cell r="K124">
            <v>105628070237.77644</v>
          </cell>
          <cell r="L124">
            <v>123781880094.16196</v>
          </cell>
          <cell r="M124">
            <v>146601072539.31726</v>
          </cell>
          <cell r="N124">
            <v>172204199309.16302</v>
          </cell>
          <cell r="O124">
            <v>212609187707.42584</v>
          </cell>
          <cell r="P124">
            <v>240151811888.73666</v>
          </cell>
          <cell r="Q124">
            <v>318031297493.4007</v>
          </cell>
          <cell r="R124">
            <v>432082723461.09595</v>
          </cell>
          <cell r="S124">
            <v>479625998614.63702</v>
          </cell>
          <cell r="T124">
            <v>521541905674.7149</v>
          </cell>
          <cell r="U124">
            <v>586161859001.31763</v>
          </cell>
          <cell r="V124">
            <v>721411786538.60632</v>
          </cell>
          <cell r="W124">
            <v>1013612334075.2025</v>
          </cell>
          <cell r="X124">
            <v>1055012119529.5413</v>
          </cell>
          <cell r="Y124">
            <v>1105385811262.7253</v>
          </cell>
          <cell r="Z124">
            <v>1218988750886.4897</v>
          </cell>
          <cell r="AA124">
            <v>1134518153718.1824</v>
          </cell>
          <cell r="AB124">
            <v>1243323766554.874</v>
          </cell>
          <cell r="AC124">
            <v>1318381627007.4597</v>
          </cell>
          <cell r="AD124">
            <v>1398892549340.8721</v>
          </cell>
          <cell r="AE124">
            <v>2078952922458.3086</v>
          </cell>
          <cell r="AF124">
            <v>2532808573157.0308</v>
          </cell>
          <cell r="AG124">
            <v>3071683812149.6582</v>
          </cell>
          <cell r="AH124">
            <v>3054913797217.0283</v>
          </cell>
          <cell r="AI124">
            <v>3132817652848.0415</v>
          </cell>
          <cell r="AJ124">
            <v>3584420964070.0698</v>
          </cell>
          <cell r="AK124">
            <v>3908808434705.2642</v>
          </cell>
          <cell r="AL124">
            <v>4454144444407.9033</v>
          </cell>
          <cell r="AM124">
            <v>4998797262443.2871</v>
          </cell>
          <cell r="AN124">
            <v>5545564892181.1465</v>
          </cell>
          <cell r="AO124">
            <v>4923393495138.7705</v>
          </cell>
          <cell r="AP124">
            <v>4492449998031.876</v>
          </cell>
          <cell r="AQ124">
            <v>4098362688659.3354</v>
          </cell>
          <cell r="AR124">
            <v>4635982020564.9697</v>
          </cell>
          <cell r="AS124">
            <v>4968359152795.6562</v>
          </cell>
          <cell r="AT124">
            <v>4374709984220.0146</v>
          </cell>
          <cell r="AU124">
            <v>4182845406488.6196</v>
          </cell>
          <cell r="AV124">
            <v>4519563042183.7305</v>
          </cell>
          <cell r="AW124">
            <v>4893116005656.5586</v>
          </cell>
          <cell r="AX124">
            <v>4831466523975.9766</v>
          </cell>
          <cell r="AY124">
            <v>4601662661030.0674</v>
          </cell>
          <cell r="AZ124">
            <v>4579749785984.8164</v>
          </cell>
          <cell r="BA124">
            <v>5106679413137.5742</v>
          </cell>
          <cell r="BB124">
            <v>5289493734900.3945</v>
          </cell>
          <cell r="BC124">
            <v>5759071769013.1133</v>
          </cell>
          <cell r="BD124">
            <v>6233147172341.3486</v>
          </cell>
          <cell r="BE124">
            <v>6272362996105.0342</v>
          </cell>
          <cell r="BF124">
            <v>5212328181166.1846</v>
          </cell>
          <cell r="BG124">
            <v>4896994405353.292</v>
          </cell>
          <cell r="BH124">
            <v>4444930651964.1797</v>
          </cell>
          <cell r="BI124">
            <v>5003677627544.2402</v>
          </cell>
          <cell r="BJ124">
            <v>4930837369151.4219</v>
          </cell>
          <cell r="BK124">
            <v>5040880939324.8594</v>
          </cell>
          <cell r="BL124">
            <v>5117993853016.5078</v>
          </cell>
          <cell r="BM124">
            <v>5048789595589.4336</v>
          </cell>
        </row>
        <row r="125">
          <cell r="B125" t="str">
            <v>KAZ</v>
          </cell>
          <cell r="C125" t="str">
            <v>GDP (current US$)</v>
          </cell>
          <cell r="D125" t="str">
            <v>NY.GDP.MKTP.CD</v>
          </cell>
          <cell r="AI125">
            <v>26932729102.737148</v>
          </cell>
          <cell r="AJ125">
            <v>24923076923.076923</v>
          </cell>
          <cell r="AK125">
            <v>24917355371.900826</v>
          </cell>
          <cell r="AL125">
            <v>23409260879.942719</v>
          </cell>
          <cell r="AM125">
            <v>21250792886.105423</v>
          </cell>
          <cell r="AN125">
            <v>20374302652.381878</v>
          </cell>
          <cell r="AO125">
            <v>21035357832.697746</v>
          </cell>
          <cell r="AP125">
            <v>22165932062.96603</v>
          </cell>
          <cell r="AQ125">
            <v>22135245413.136955</v>
          </cell>
          <cell r="AR125">
            <v>16870817134.729668</v>
          </cell>
          <cell r="AS125">
            <v>18291990619.137001</v>
          </cell>
          <cell r="AT125">
            <v>22152689129.55827</v>
          </cell>
          <cell r="AU125">
            <v>24636598581.020412</v>
          </cell>
          <cell r="AV125">
            <v>30833692831.395512</v>
          </cell>
          <cell r="AW125">
            <v>43151647002.609627</v>
          </cell>
          <cell r="AX125">
            <v>57123671733.895248</v>
          </cell>
          <cell r="AY125">
            <v>81003864915.543015</v>
          </cell>
          <cell r="AZ125">
            <v>104849915343.55528</v>
          </cell>
          <cell r="BA125">
            <v>133441649221.73155</v>
          </cell>
          <cell r="BB125">
            <v>115308687201.9704</v>
          </cell>
          <cell r="BC125">
            <v>148047348240.64334</v>
          </cell>
          <cell r="BD125">
            <v>192626464179.14734</v>
          </cell>
          <cell r="BE125">
            <v>207998568865.78925</v>
          </cell>
          <cell r="BF125">
            <v>236634603927.58295</v>
          </cell>
          <cell r="BG125">
            <v>221415614007.34738</v>
          </cell>
          <cell r="BH125">
            <v>184388404428.84338</v>
          </cell>
          <cell r="BI125">
            <v>137278320084.17114</v>
          </cell>
          <cell r="BJ125">
            <v>166805788966.78015</v>
          </cell>
          <cell r="BK125">
            <v>179339977517.06183</v>
          </cell>
          <cell r="BL125">
            <v>181667185041.47974</v>
          </cell>
          <cell r="BM125">
            <v>171082365723.32642</v>
          </cell>
        </row>
        <row r="126">
          <cell r="B126" t="str">
            <v>KEN</v>
          </cell>
          <cell r="C126" t="str">
            <v>GDP (current US$)</v>
          </cell>
          <cell r="D126" t="str">
            <v>NY.GDP.MKTP.CD</v>
          </cell>
          <cell r="E126">
            <v>791265458.81332779</v>
          </cell>
          <cell r="F126">
            <v>792959472.13426566</v>
          </cell>
          <cell r="G126">
            <v>868111400.00886381</v>
          </cell>
          <cell r="H126">
            <v>926589348.5673933</v>
          </cell>
          <cell r="I126">
            <v>998759333.63733304</v>
          </cell>
          <cell r="J126">
            <v>997919319.97406101</v>
          </cell>
          <cell r="K126">
            <v>1164519673.1906433</v>
          </cell>
          <cell r="L126">
            <v>1232559505.9161959</v>
          </cell>
          <cell r="M126">
            <v>1353295457.5179822</v>
          </cell>
          <cell r="N126">
            <v>1458379415.394027</v>
          </cell>
          <cell r="O126">
            <v>1603447357.2420917</v>
          </cell>
          <cell r="P126">
            <v>1778391289.2005405</v>
          </cell>
          <cell r="Q126">
            <v>2107279157.3833563</v>
          </cell>
          <cell r="R126">
            <v>2509001444.1601958</v>
          </cell>
          <cell r="S126">
            <v>2969958812.4322696</v>
          </cell>
          <cell r="T126">
            <v>3259344935.7535672</v>
          </cell>
          <cell r="U126">
            <v>3474542392.0459652</v>
          </cell>
          <cell r="V126">
            <v>4494378855.322032</v>
          </cell>
          <cell r="W126">
            <v>5303734882.5115957</v>
          </cell>
          <cell r="X126">
            <v>6234390975.298708</v>
          </cell>
          <cell r="Y126">
            <v>7265315331.6227274</v>
          </cell>
          <cell r="Z126">
            <v>6854491453.9147072</v>
          </cell>
          <cell r="AA126">
            <v>6431579357.3027296</v>
          </cell>
          <cell r="AB126">
            <v>5979198463.8227444</v>
          </cell>
          <cell r="AC126">
            <v>6191437070.4346657</v>
          </cell>
          <cell r="AD126">
            <v>6135034338.304307</v>
          </cell>
          <cell r="AE126">
            <v>7239126716.9321909</v>
          </cell>
          <cell r="AF126">
            <v>7970820530.7669106</v>
          </cell>
          <cell r="AG126">
            <v>8355380879.1295481</v>
          </cell>
          <cell r="AH126">
            <v>8283114648.3811569</v>
          </cell>
          <cell r="AI126">
            <v>8572359162.868763</v>
          </cell>
          <cell r="AJ126">
            <v>8151488881.9682999</v>
          </cell>
          <cell r="AK126">
            <v>8209120678.1134176</v>
          </cell>
          <cell r="AL126">
            <v>5751786609.503233</v>
          </cell>
          <cell r="AM126">
            <v>7148148564.0423851</v>
          </cell>
          <cell r="AN126">
            <v>9046320196.7729549</v>
          </cell>
          <cell r="AO126">
            <v>12045865466.434301</v>
          </cell>
          <cell r="AP126">
            <v>13115764432.72324</v>
          </cell>
          <cell r="AQ126">
            <v>14093998843.733383</v>
          </cell>
          <cell r="AR126">
            <v>12896010520.495789</v>
          </cell>
          <cell r="AS126">
            <v>12705350153.401157</v>
          </cell>
          <cell r="AT126">
            <v>12986007425.878052</v>
          </cell>
          <cell r="AU126">
            <v>13147736954.169971</v>
          </cell>
          <cell r="AV126">
            <v>14904517649.847567</v>
          </cell>
          <cell r="AW126">
            <v>16095337093.836597</v>
          </cell>
          <cell r="AX126">
            <v>18737895400.780006</v>
          </cell>
          <cell r="AY126">
            <v>25825512277.891125</v>
          </cell>
          <cell r="AZ126">
            <v>31958195182.240604</v>
          </cell>
          <cell r="BA126">
            <v>35895153327.849686</v>
          </cell>
          <cell r="BB126">
            <v>42347217912.917572</v>
          </cell>
          <cell r="BC126">
            <v>45405615233.069275</v>
          </cell>
          <cell r="BD126">
            <v>46869473165.890549</v>
          </cell>
          <cell r="BE126">
            <v>56396704833.467644</v>
          </cell>
          <cell r="BF126">
            <v>61671440480.689453</v>
          </cell>
          <cell r="BG126">
            <v>68285796662.653244</v>
          </cell>
          <cell r="BH126">
            <v>70120446663.62561</v>
          </cell>
          <cell r="BI126">
            <v>74815143796.397751</v>
          </cell>
          <cell r="BJ126">
            <v>82036511258.832397</v>
          </cell>
          <cell r="BK126">
            <v>92202979940.670959</v>
          </cell>
          <cell r="BL126">
            <v>100378435824.17841</v>
          </cell>
          <cell r="BM126">
            <v>100657505600.65482</v>
          </cell>
        </row>
        <row r="127">
          <cell r="B127" t="str">
            <v>KGZ</v>
          </cell>
          <cell r="C127" t="str">
            <v>GDP (current US$)</v>
          </cell>
          <cell r="D127" t="str">
            <v>NY.GDP.MKTP.CD</v>
          </cell>
          <cell r="AI127">
            <v>2675000000</v>
          </cell>
          <cell r="AJ127">
            <v>2569444444.4444447</v>
          </cell>
          <cell r="AK127">
            <v>2316562500</v>
          </cell>
          <cell r="AL127">
            <v>2028295454.5454545</v>
          </cell>
          <cell r="AM127">
            <v>1681006993.0069928</v>
          </cell>
          <cell r="AN127">
            <v>1661018518.5185184</v>
          </cell>
          <cell r="AO127">
            <v>1827570586.1678448</v>
          </cell>
          <cell r="AP127">
            <v>1767864035.7194295</v>
          </cell>
          <cell r="AQ127">
            <v>1645963749.8314617</v>
          </cell>
          <cell r="AR127">
            <v>1249061487.0145676</v>
          </cell>
          <cell r="AS127">
            <v>1369688498.0677826</v>
          </cell>
          <cell r="AT127">
            <v>1525116370.279392</v>
          </cell>
          <cell r="AU127">
            <v>1605643104.730212</v>
          </cell>
          <cell r="AV127">
            <v>1919008090.4964125</v>
          </cell>
          <cell r="AW127">
            <v>2211534585.0033989</v>
          </cell>
          <cell r="AX127">
            <v>2460246796.05234</v>
          </cell>
          <cell r="AY127">
            <v>2834168893.2726531</v>
          </cell>
          <cell r="AZ127">
            <v>3802570572.3751597</v>
          </cell>
          <cell r="BA127">
            <v>5139958956.0238838</v>
          </cell>
          <cell r="BB127">
            <v>4690061344.1642084</v>
          </cell>
          <cell r="BC127">
            <v>4794361821.2061129</v>
          </cell>
          <cell r="BD127">
            <v>6197765941.6797457</v>
          </cell>
          <cell r="BE127">
            <v>6605142864.3719997</v>
          </cell>
          <cell r="BF127">
            <v>7335033799.2621193</v>
          </cell>
          <cell r="BG127">
            <v>7468102369.1365385</v>
          </cell>
          <cell r="BH127">
            <v>6678177483.4294939</v>
          </cell>
          <cell r="BI127">
            <v>6813095396.1431713</v>
          </cell>
          <cell r="BJ127">
            <v>7702938395.184576</v>
          </cell>
          <cell r="BK127">
            <v>8271106196.0425272</v>
          </cell>
          <cell r="BL127">
            <v>8871019822.7609825</v>
          </cell>
          <cell r="BM127">
            <v>7780873258.6688719</v>
          </cell>
        </row>
        <row r="128">
          <cell r="B128" t="str">
            <v>KHM</v>
          </cell>
          <cell r="C128" t="str">
            <v>GDP (current US$)</v>
          </cell>
          <cell r="D128" t="str">
            <v>NY.GDP.MKTP.CD</v>
          </cell>
          <cell r="E128">
            <v>637142865.71428573</v>
          </cell>
          <cell r="F128">
            <v>642857134.28571427</v>
          </cell>
          <cell r="G128">
            <v>660000008.57142854</v>
          </cell>
          <cell r="H128">
            <v>728571437.14285719</v>
          </cell>
          <cell r="I128">
            <v>782857128.57142854</v>
          </cell>
          <cell r="J128">
            <v>868571428.57142854</v>
          </cell>
          <cell r="K128">
            <v>914285714.28571427</v>
          </cell>
          <cell r="L128">
            <v>962857134.28571427</v>
          </cell>
          <cell r="M128">
            <v>1065714248.5714285</v>
          </cell>
          <cell r="N128">
            <v>978873232.39436615</v>
          </cell>
          <cell r="O128">
            <v>718401157.73709762</v>
          </cell>
          <cell r="P128">
            <v>969911421.39418042</v>
          </cell>
          <cell r="Q128">
            <v>505549441.37507671</v>
          </cell>
          <cell r="R128">
            <v>702899155.98203349</v>
          </cell>
          <cell r="S128">
            <v>588443893.68977308</v>
          </cell>
          <cell r="AL128">
            <v>2533727592.0416512</v>
          </cell>
          <cell r="AM128">
            <v>2791435272.26653</v>
          </cell>
          <cell r="AN128">
            <v>3441205692.9165983</v>
          </cell>
          <cell r="AO128">
            <v>3506695719.572588</v>
          </cell>
          <cell r="AP128">
            <v>3443413388.6909003</v>
          </cell>
          <cell r="AQ128">
            <v>3120425502.5825348</v>
          </cell>
          <cell r="AR128">
            <v>3517242477.2285037</v>
          </cell>
          <cell r="AS128">
            <v>3654031716.2688117</v>
          </cell>
          <cell r="AT128">
            <v>3984000517.0234456</v>
          </cell>
          <cell r="AU128">
            <v>4284028482.5376568</v>
          </cell>
          <cell r="AV128">
            <v>4658246918.2709227</v>
          </cell>
          <cell r="AW128">
            <v>5337833248.0392399</v>
          </cell>
          <cell r="AX128">
            <v>6293046161.8326206</v>
          </cell>
          <cell r="AY128">
            <v>7274595706.6715412</v>
          </cell>
          <cell r="AZ128">
            <v>8639235913.1774597</v>
          </cell>
          <cell r="BA128">
            <v>10351914178.285706</v>
          </cell>
          <cell r="BB128">
            <v>10401851766.846521</v>
          </cell>
          <cell r="BC128">
            <v>11242275288.524256</v>
          </cell>
          <cell r="BD128">
            <v>12829541141.01269</v>
          </cell>
          <cell r="BE128">
            <v>14054443213.463923</v>
          </cell>
          <cell r="BF128">
            <v>15227991395.220064</v>
          </cell>
          <cell r="BG128">
            <v>16702610842.402477</v>
          </cell>
          <cell r="BH128">
            <v>18049954289.422901</v>
          </cell>
          <cell r="BI128">
            <v>20016747858.312168</v>
          </cell>
          <cell r="BJ128">
            <v>22177200588.674942</v>
          </cell>
          <cell r="BK128">
            <v>24571753581.784077</v>
          </cell>
          <cell r="BL128">
            <v>27089390032.891483</v>
          </cell>
          <cell r="BM128">
            <v>25872797892.028503</v>
          </cell>
        </row>
        <row r="129">
          <cell r="B129" t="str">
            <v>KIR</v>
          </cell>
          <cell r="C129" t="str">
            <v>GDP (current US$)</v>
          </cell>
          <cell r="D129" t="str">
            <v>NY.GDP.MKTP.CD</v>
          </cell>
          <cell r="O129">
            <v>14295279.544693673</v>
          </cell>
          <cell r="P129">
            <v>15278632.47863248</v>
          </cell>
          <cell r="Q129">
            <v>18936526.946107786</v>
          </cell>
          <cell r="R129">
            <v>31710657.725781139</v>
          </cell>
          <cell r="S129">
            <v>85637174.372213095</v>
          </cell>
          <cell r="T129">
            <v>55083890.191028774</v>
          </cell>
          <cell r="U129">
            <v>41110417.184305608</v>
          </cell>
          <cell r="V129">
            <v>38746985.322814278</v>
          </cell>
          <cell r="W129">
            <v>45212135.103259236</v>
          </cell>
          <cell r="X129">
            <v>42618216.238844655</v>
          </cell>
          <cell r="Y129">
            <v>42129506.149726957</v>
          </cell>
          <cell r="Z129">
            <v>43667390.516611934</v>
          </cell>
          <cell r="AA129">
            <v>40573595.725612544</v>
          </cell>
          <cell r="AB129">
            <v>37837326.551020466</v>
          </cell>
          <cell r="AC129">
            <v>42123029.98992306</v>
          </cell>
          <cell r="AD129">
            <v>32125260.592475444</v>
          </cell>
          <cell r="AE129">
            <v>31417654.83329156</v>
          </cell>
          <cell r="AF129">
            <v>35709784.480947778</v>
          </cell>
          <cell r="AG129">
            <v>44534439.315315664</v>
          </cell>
          <cell r="AH129">
            <v>44282893.887115411</v>
          </cell>
          <cell r="AI129">
            <v>42933307.660082579</v>
          </cell>
          <cell r="AJ129">
            <v>47516824.006642088</v>
          </cell>
          <cell r="AK129">
            <v>47736260.830929294</v>
          </cell>
          <cell r="AL129">
            <v>46920900.881296918</v>
          </cell>
          <cell r="AM129">
            <v>54834548.934046969</v>
          </cell>
          <cell r="AN129">
            <v>56336670.910448782</v>
          </cell>
          <cell r="AO129">
            <v>66517285.364371426</v>
          </cell>
          <cell r="AP129">
            <v>67538482.091169521</v>
          </cell>
          <cell r="AQ129">
            <v>65333678.149968147</v>
          </cell>
          <cell r="AR129">
            <v>69034484.983386561</v>
          </cell>
          <cell r="AS129">
            <v>67253134.614492536</v>
          </cell>
          <cell r="AT129">
            <v>63099885.30820027</v>
          </cell>
          <cell r="AU129">
            <v>72197928.622364089</v>
          </cell>
          <cell r="AV129">
            <v>90231027.775540709</v>
          </cell>
          <cell r="AW129">
            <v>102370615.24064122</v>
          </cell>
          <cell r="AX129">
            <v>112136227.79641718</v>
          </cell>
          <cell r="AY129">
            <v>110237144.4604204</v>
          </cell>
          <cell r="AZ129">
            <v>132674795.88058466</v>
          </cell>
          <cell r="BA129">
            <v>141045173.61077172</v>
          </cell>
          <cell r="BB129">
            <v>132421058.94591902</v>
          </cell>
          <cell r="BC129">
            <v>155305532.9189994</v>
          </cell>
          <cell r="BD129">
            <v>180672664.75878701</v>
          </cell>
          <cell r="BE129">
            <v>189629948.80538616</v>
          </cell>
          <cell r="BF129">
            <v>184543103.72112373</v>
          </cell>
          <cell r="BG129">
            <v>177868153.09073338</v>
          </cell>
          <cell r="BH129">
            <v>170292283.24601296</v>
          </cell>
          <cell r="BI129">
            <v>178507958.05032915</v>
          </cell>
          <cell r="BJ129">
            <v>188540699.14568588</v>
          </cell>
          <cell r="BK129">
            <v>196501504.18518624</v>
          </cell>
          <cell r="BL129">
            <v>175181684.79221228</v>
          </cell>
          <cell r="BM129">
            <v>177553260.10882837</v>
          </cell>
        </row>
        <row r="130">
          <cell r="B130" t="str">
            <v>KNA</v>
          </cell>
          <cell r="C130" t="str">
            <v>GDP (current US$)</v>
          </cell>
          <cell r="D130" t="str">
            <v>NY.GDP.MKTP.CD</v>
          </cell>
          <cell r="E130">
            <v>12366635.744924508</v>
          </cell>
          <cell r="F130">
            <v>12483302.119876627</v>
          </cell>
          <cell r="G130">
            <v>12541635.307352684</v>
          </cell>
          <cell r="H130">
            <v>12833301.24473298</v>
          </cell>
          <cell r="I130">
            <v>13416633.11949357</v>
          </cell>
          <cell r="J130">
            <v>13593932.322053676</v>
          </cell>
          <cell r="K130">
            <v>14469078.179696616</v>
          </cell>
          <cell r="L130">
            <v>16742338.251986379</v>
          </cell>
          <cell r="M130">
            <v>14599999.992699999</v>
          </cell>
          <cell r="N130">
            <v>15849999.992075</v>
          </cell>
          <cell r="O130">
            <v>16299999.99185</v>
          </cell>
          <cell r="P130">
            <v>19624746.450304259</v>
          </cell>
          <cell r="Q130">
            <v>22944849.115504682</v>
          </cell>
          <cell r="R130">
            <v>24196018.376722816</v>
          </cell>
          <cell r="S130">
            <v>31514856.307842184</v>
          </cell>
          <cell r="T130">
            <v>33364055.299539171</v>
          </cell>
          <cell r="U130">
            <v>30095602.294455066</v>
          </cell>
          <cell r="V130">
            <v>44496296.296296291</v>
          </cell>
          <cell r="W130">
            <v>49433333.333333328</v>
          </cell>
          <cell r="X130">
            <v>58840740.740740739</v>
          </cell>
          <cell r="Y130">
            <v>68459259.259259254</v>
          </cell>
          <cell r="Z130">
            <v>80888888.888888881</v>
          </cell>
          <cell r="AA130">
            <v>86022222.222222224</v>
          </cell>
          <cell r="AB130">
            <v>86874074.074074075</v>
          </cell>
          <cell r="AC130">
            <v>98603703.703703701</v>
          </cell>
          <cell r="AD130">
            <v>111007407.4074074</v>
          </cell>
          <cell r="AE130">
            <v>130685185.18518518</v>
          </cell>
          <cell r="AF130">
            <v>147748148.14814815</v>
          </cell>
          <cell r="AG130">
            <v>172692592.59259257</v>
          </cell>
          <cell r="AH130">
            <v>192518518.51851848</v>
          </cell>
          <cell r="AI130">
            <v>217259259.25925925</v>
          </cell>
          <cell r="AJ130">
            <v>220540740.74074072</v>
          </cell>
          <cell r="AK130">
            <v>242137037.03703701</v>
          </cell>
          <cell r="AL130">
            <v>263755555.55555555</v>
          </cell>
          <cell r="AM130">
            <v>295159259.25925922</v>
          </cell>
          <cell r="AN130">
            <v>313485185.18518519</v>
          </cell>
          <cell r="AO130">
            <v>333944444.44444442</v>
          </cell>
          <cell r="AP130">
            <v>374641307.97464132</v>
          </cell>
          <cell r="AQ130">
            <v>383257331.40547961</v>
          </cell>
          <cell r="AR130">
            <v>406595484.37326217</v>
          </cell>
          <cell r="AS130">
            <v>421695769.84391803</v>
          </cell>
          <cell r="AT130">
            <v>458643829.01419944</v>
          </cell>
          <cell r="AU130">
            <v>481077373.66996628</v>
          </cell>
          <cell r="AV130">
            <v>469869869.86986989</v>
          </cell>
          <cell r="AW130">
            <v>506899999.99999994</v>
          </cell>
          <cell r="AX130">
            <v>547203703.70370364</v>
          </cell>
          <cell r="AY130">
            <v>644414814.81481481</v>
          </cell>
          <cell r="AZ130">
            <v>689285185.18518519</v>
          </cell>
          <cell r="BA130">
            <v>777691333.33333325</v>
          </cell>
          <cell r="BB130">
            <v>774273111.11111116</v>
          </cell>
          <cell r="BC130">
            <v>778718518.51851845</v>
          </cell>
          <cell r="BD130">
            <v>836092592.5925926</v>
          </cell>
          <cell r="BE130">
            <v>825381481.48148143</v>
          </cell>
          <cell r="BF130">
            <v>874896296.29629624</v>
          </cell>
          <cell r="BG130">
            <v>953170370.37037027</v>
          </cell>
          <cell r="BH130">
            <v>957037037.03703701</v>
          </cell>
          <cell r="BI130">
            <v>1008099999.9999999</v>
          </cell>
          <cell r="BJ130">
            <v>1058944444.4444444</v>
          </cell>
          <cell r="BK130">
            <v>1076922222.2222221</v>
          </cell>
          <cell r="BL130">
            <v>1107844444.4444444</v>
          </cell>
          <cell r="BM130">
            <v>884522222.22222221</v>
          </cell>
        </row>
        <row r="131">
          <cell r="B131" t="str">
            <v>KOR</v>
          </cell>
          <cell r="C131" t="str">
            <v>GDP (current US$)</v>
          </cell>
          <cell r="D131" t="str">
            <v>NY.GDP.MKTP.CD</v>
          </cell>
          <cell r="E131">
            <v>3958824423.9981751</v>
          </cell>
          <cell r="F131">
            <v>2417638423.2221503</v>
          </cell>
          <cell r="G131">
            <v>2814626210.1008077</v>
          </cell>
          <cell r="H131">
            <v>3988476878.7572255</v>
          </cell>
          <cell r="I131">
            <v>3459032883.0246453</v>
          </cell>
          <cell r="J131">
            <v>3120870870.8708711</v>
          </cell>
          <cell r="K131">
            <v>3929018943.0235133</v>
          </cell>
          <cell r="L131">
            <v>4855833210.1138554</v>
          </cell>
          <cell r="M131">
            <v>6119284294.2345934</v>
          </cell>
          <cell r="N131">
            <v>7678720155.469183</v>
          </cell>
          <cell r="O131">
            <v>9005023183.9258118</v>
          </cell>
          <cell r="P131">
            <v>9903499927.9850216</v>
          </cell>
          <cell r="Q131">
            <v>10862327878.032019</v>
          </cell>
          <cell r="R131">
            <v>13876531432.014462</v>
          </cell>
          <cell r="S131">
            <v>19544094741.266346</v>
          </cell>
          <cell r="T131">
            <v>21784297520.661156</v>
          </cell>
          <cell r="U131">
            <v>29902479338.842976</v>
          </cell>
          <cell r="V131">
            <v>38446487603.305786</v>
          </cell>
          <cell r="W131">
            <v>51972107438.016525</v>
          </cell>
          <cell r="X131">
            <v>66946900826.446281</v>
          </cell>
          <cell r="Y131">
            <v>65398646757.651093</v>
          </cell>
          <cell r="Z131">
            <v>72933350953.702484</v>
          </cell>
          <cell r="AA131">
            <v>78358866334.73764</v>
          </cell>
          <cell r="AB131">
            <v>87760360941.024811</v>
          </cell>
          <cell r="AC131">
            <v>97510235986.004608</v>
          </cell>
          <cell r="AD131">
            <v>101296177099.55167</v>
          </cell>
          <cell r="AE131">
            <v>116836802995.06494</v>
          </cell>
          <cell r="AF131">
            <v>147948259722.57678</v>
          </cell>
          <cell r="AG131">
            <v>199590823957.23679</v>
          </cell>
          <cell r="AH131">
            <v>246927292765.0195</v>
          </cell>
          <cell r="AI131">
            <v>283367525714.93164</v>
          </cell>
          <cell r="AJ131">
            <v>330648530715.211</v>
          </cell>
          <cell r="AK131">
            <v>355525267405.36731</v>
          </cell>
          <cell r="AL131">
            <v>392666101884.95898</v>
          </cell>
          <cell r="AM131">
            <v>463617399962.66101</v>
          </cell>
          <cell r="AN131">
            <v>566583427334.13721</v>
          </cell>
          <cell r="AO131">
            <v>610169556840.07703</v>
          </cell>
          <cell r="AP131">
            <v>569754543829.95728</v>
          </cell>
          <cell r="AQ131">
            <v>383330931042.35645</v>
          </cell>
          <cell r="AR131">
            <v>497512659612.05231</v>
          </cell>
          <cell r="AS131">
            <v>576178114168.49402</v>
          </cell>
          <cell r="AT131">
            <v>547658231279.87048</v>
          </cell>
          <cell r="AU131">
            <v>627246081417.00439</v>
          </cell>
          <cell r="AV131">
            <v>702717332012.99084</v>
          </cell>
          <cell r="AW131">
            <v>793175007858.06592</v>
          </cell>
          <cell r="AX131">
            <v>934901101762.49146</v>
          </cell>
          <cell r="AY131">
            <v>1053216892422.0195</v>
          </cell>
          <cell r="AZ131">
            <v>1172614134912.0508</v>
          </cell>
          <cell r="BA131">
            <v>1047339041903.8484</v>
          </cell>
          <cell r="BB131">
            <v>943941876218.74329</v>
          </cell>
          <cell r="BC131">
            <v>1144066965324.4941</v>
          </cell>
          <cell r="BD131">
            <v>1253223044718.9871</v>
          </cell>
          <cell r="BE131">
            <v>1278427634342.5857</v>
          </cell>
          <cell r="BF131">
            <v>1370795199976.1794</v>
          </cell>
          <cell r="BG131">
            <v>1484318219633.6272</v>
          </cell>
          <cell r="BH131">
            <v>1465773245547.1497</v>
          </cell>
          <cell r="BI131">
            <v>1500111596236.3718</v>
          </cell>
          <cell r="BJ131">
            <v>1623901496835.7908</v>
          </cell>
          <cell r="BK131">
            <v>1724845615629.2595</v>
          </cell>
          <cell r="BL131">
            <v>1651422932447.7681</v>
          </cell>
          <cell r="BM131">
            <v>1644312785467.1206</v>
          </cell>
        </row>
        <row r="132">
          <cell r="B132" t="str">
            <v>KWT</v>
          </cell>
          <cell r="C132" t="str">
            <v>GDP (current US$)</v>
          </cell>
          <cell r="D132" t="str">
            <v>NY.GDP.MKTP.CD</v>
          </cell>
          <cell r="J132">
            <v>2097199164.8952918</v>
          </cell>
          <cell r="K132">
            <v>2391199047.8245382</v>
          </cell>
          <cell r="L132">
            <v>2441599027.7552662</v>
          </cell>
          <cell r="M132">
            <v>2662798939.673461</v>
          </cell>
          <cell r="N132">
            <v>2769198897.3049979</v>
          </cell>
          <cell r="O132">
            <v>2873638855.7170067</v>
          </cell>
          <cell r="P132">
            <v>3880395313.469759</v>
          </cell>
          <cell r="Q132">
            <v>4450540660.1460552</v>
          </cell>
          <cell r="R132">
            <v>5408798851.9972153</v>
          </cell>
          <cell r="S132">
            <v>13006929853.395758</v>
          </cell>
          <cell r="T132">
            <v>12022797844.45689</v>
          </cell>
          <cell r="U132">
            <v>13132234132.735067</v>
          </cell>
          <cell r="V132">
            <v>14137406789.840408</v>
          </cell>
          <cell r="W132">
            <v>15503571643.997641</v>
          </cell>
          <cell r="X132">
            <v>24749056549.386272</v>
          </cell>
          <cell r="Y132">
            <v>28638824314.718071</v>
          </cell>
          <cell r="Z132">
            <v>25057990467.186214</v>
          </cell>
          <cell r="AA132">
            <v>21577153431.363003</v>
          </cell>
          <cell r="AB132">
            <v>20871105019.971058</v>
          </cell>
          <cell r="AC132">
            <v>21700088897.564629</v>
          </cell>
          <cell r="AD132">
            <v>21445952792.819878</v>
          </cell>
          <cell r="AE132">
            <v>17904010287.497845</v>
          </cell>
          <cell r="AF132">
            <v>22368684065.80344</v>
          </cell>
          <cell r="AG132">
            <v>20690303615.122787</v>
          </cell>
          <cell r="AH132">
            <v>24313821169.114101</v>
          </cell>
          <cell r="AI132">
            <v>18427777777.777779</v>
          </cell>
          <cell r="AJ132">
            <v>11010010088.219992</v>
          </cell>
          <cell r="AK132">
            <v>19858555214.723927</v>
          </cell>
          <cell r="AL132">
            <v>23941391390.728477</v>
          </cell>
          <cell r="AM132">
            <v>24848483838.383839</v>
          </cell>
          <cell r="AN132">
            <v>27187006077.125237</v>
          </cell>
          <cell r="AO132">
            <v>31492419238.198399</v>
          </cell>
          <cell r="AP132">
            <v>30350207212.762169</v>
          </cell>
          <cell r="AQ132">
            <v>25943736430.932011</v>
          </cell>
          <cell r="AR132">
            <v>30122398833.170509</v>
          </cell>
          <cell r="AS132">
            <v>37718794714.181084</v>
          </cell>
          <cell r="AT132">
            <v>34889597791.412338</v>
          </cell>
          <cell r="AU132">
            <v>38135756834.174088</v>
          </cell>
          <cell r="AV132">
            <v>47874659167.993912</v>
          </cell>
          <cell r="AW132">
            <v>59439090600.610786</v>
          </cell>
          <cell r="AX132">
            <v>80798630136.986313</v>
          </cell>
          <cell r="AY132">
            <v>101557251976.79445</v>
          </cell>
          <cell r="AZ132">
            <v>114634060167.40628</v>
          </cell>
          <cell r="BA132">
            <v>147379536212.13815</v>
          </cell>
          <cell r="BB132">
            <v>105968538479.91473</v>
          </cell>
          <cell r="BC132">
            <v>115416745328.98463</v>
          </cell>
          <cell r="BD132">
            <v>154079870424.8978</v>
          </cell>
          <cell r="BE132">
            <v>174048271288.15112</v>
          </cell>
          <cell r="BF132">
            <v>174167626656.76324</v>
          </cell>
          <cell r="BG132">
            <v>162650191195.35828</v>
          </cell>
          <cell r="BH132">
            <v>114585567439.67403</v>
          </cell>
          <cell r="BI132">
            <v>109406169162.83286</v>
          </cell>
          <cell r="BJ132">
            <v>120687635952.45996</v>
          </cell>
          <cell r="BK132">
            <v>138202309918.72568</v>
          </cell>
          <cell r="BL132">
            <v>136191752590.89687</v>
          </cell>
          <cell r="BM132">
            <v>105948765156.02919</v>
          </cell>
        </row>
        <row r="133">
          <cell r="B133" t="str">
            <v>LAC</v>
          </cell>
          <cell r="C133" t="str">
            <v>GDP (current US$)</v>
          </cell>
          <cell r="D133" t="str">
            <v>NY.GDP.MKTP.CD</v>
          </cell>
          <cell r="E133">
            <v>68172083254.547508</v>
          </cell>
          <cell r="F133">
            <v>71358741142.551895</v>
          </cell>
          <cell r="G133">
            <v>77592630259.609131</v>
          </cell>
          <cell r="H133">
            <v>78189337825.534668</v>
          </cell>
          <cell r="I133">
            <v>89672295454.396301</v>
          </cell>
          <cell r="J133">
            <v>97220145030.430145</v>
          </cell>
          <cell r="K133">
            <v>107487358657.43275</v>
          </cell>
          <cell r="L133">
            <v>109346248633.25385</v>
          </cell>
          <cell r="M133">
            <v>117684655539.16039</v>
          </cell>
          <cell r="N133">
            <v>131858221954.73358</v>
          </cell>
          <cell r="O133">
            <v>143400008471.56473</v>
          </cell>
          <cell r="P133">
            <v>158746442517.71716</v>
          </cell>
          <cell r="Q133">
            <v>180600747008.55798</v>
          </cell>
          <cell r="R133">
            <v>241708939206.43326</v>
          </cell>
          <cell r="S133">
            <v>317535791822.91327</v>
          </cell>
          <cell r="T133">
            <v>342490337010.1026</v>
          </cell>
          <cell r="U133">
            <v>372929451128.76129</v>
          </cell>
          <cell r="V133">
            <v>404811983096.71649</v>
          </cell>
          <cell r="W133">
            <v>491322209511.27258</v>
          </cell>
          <cell r="X133">
            <v>540434106785.60266</v>
          </cell>
          <cell r="Y133">
            <v>652900348679.67126</v>
          </cell>
          <cell r="Z133">
            <v>746794081743.70422</v>
          </cell>
          <cell r="AA133">
            <v>688972840488.12256</v>
          </cell>
          <cell r="AB133">
            <v>595353311198.78955</v>
          </cell>
          <cell r="AC133">
            <v>639292019906.35107</v>
          </cell>
          <cell r="AD133">
            <v>629334804009.31873</v>
          </cell>
          <cell r="AE133">
            <v>638062538337.66321</v>
          </cell>
          <cell r="AF133">
            <v>699109189467.02405</v>
          </cell>
          <cell r="AG133">
            <v>759914669809.62427</v>
          </cell>
          <cell r="AH133">
            <v>863824214500.63342</v>
          </cell>
          <cell r="AI133">
            <v>1037525767088.178</v>
          </cell>
          <cell r="AJ133">
            <v>1096033508686.7308</v>
          </cell>
          <cell r="AK133">
            <v>1181392530141.9385</v>
          </cell>
          <cell r="AL133">
            <v>1388822926019.8818</v>
          </cell>
          <cell r="AM133">
            <v>1587966516149.9775</v>
          </cell>
          <cell r="AN133">
            <v>1677764154596.9717</v>
          </cell>
          <cell r="AO133">
            <v>1831882512080.0522</v>
          </cell>
          <cell r="AP133">
            <v>1998857548431.9087</v>
          </cell>
          <cell r="AQ133">
            <v>2007868542123.3669</v>
          </cell>
          <cell r="AR133">
            <v>1779289107461.9673</v>
          </cell>
          <cell r="AS133">
            <v>1968111942216.415</v>
          </cell>
          <cell r="AT133">
            <v>1913381580564.6943</v>
          </cell>
          <cell r="AU133">
            <v>1720013397494.821</v>
          </cell>
          <cell r="AV133">
            <v>1759192766236.821</v>
          </cell>
          <cell r="AW133">
            <v>2007862301447.1655</v>
          </cell>
          <cell r="AX133">
            <v>2431628661931.7788</v>
          </cell>
          <cell r="AY133">
            <v>2837320247592.5049</v>
          </cell>
          <cell r="AZ133">
            <v>3353094482458.8398</v>
          </cell>
          <cell r="BA133">
            <v>3880462417139.7354</v>
          </cell>
          <cell r="BB133">
            <v>3602278080284.8755</v>
          </cell>
          <cell r="BC133">
            <v>4510085308198.2656</v>
          </cell>
          <cell r="BD133">
            <v>5272190542589.3213</v>
          </cell>
          <cell r="BE133">
            <v>5244059018780.5898</v>
          </cell>
          <cell r="BF133">
            <v>5382355778791.4141</v>
          </cell>
          <cell r="BG133">
            <v>5407158752447.376</v>
          </cell>
          <cell r="BH133">
            <v>4595236035713.8623</v>
          </cell>
          <cell r="BI133">
            <v>4465515336167.2979</v>
          </cell>
          <cell r="BJ133">
            <v>4980919738935.9121</v>
          </cell>
          <cell r="BK133">
            <v>4836605850788.749</v>
          </cell>
          <cell r="BL133">
            <v>4769077474514.3105</v>
          </cell>
          <cell r="BM133">
            <v>4020603113235.6123</v>
          </cell>
        </row>
        <row r="134">
          <cell r="B134" t="str">
            <v>LAO</v>
          </cell>
          <cell r="C134" t="str">
            <v>GDP (current US$)</v>
          </cell>
          <cell r="D134" t="str">
            <v>NY.GDP.MKTP.CD</v>
          </cell>
          <cell r="AC134">
            <v>1757142852.6512213</v>
          </cell>
          <cell r="AD134">
            <v>2366666615.5555553</v>
          </cell>
          <cell r="AE134">
            <v>1776842088.515774</v>
          </cell>
          <cell r="AF134">
            <v>1087273103.6963859</v>
          </cell>
          <cell r="AG134">
            <v>598961269.29787862</v>
          </cell>
          <cell r="AH134">
            <v>714046821.09379697</v>
          </cell>
          <cell r="AI134">
            <v>865559879.28480244</v>
          </cell>
          <cell r="AJ134">
            <v>1028087972.3108478</v>
          </cell>
          <cell r="AK134">
            <v>1127806944.6151268</v>
          </cell>
          <cell r="AL134">
            <v>1327748690.126611</v>
          </cell>
          <cell r="AM134">
            <v>1543606345.1168365</v>
          </cell>
          <cell r="AN134">
            <v>1763536304.5396364</v>
          </cell>
          <cell r="AO134">
            <v>1873671550.3463552</v>
          </cell>
          <cell r="AP134">
            <v>1747011857.3310688</v>
          </cell>
          <cell r="AQ134">
            <v>1280177838.7190535</v>
          </cell>
          <cell r="AR134">
            <v>1454430642.4918334</v>
          </cell>
          <cell r="AS134">
            <v>1731198022.4549377</v>
          </cell>
          <cell r="AT134">
            <v>1768619058.3464744</v>
          </cell>
          <cell r="AU134">
            <v>1758176653.0774584</v>
          </cell>
          <cell r="AV134">
            <v>2023324407.3031571</v>
          </cell>
          <cell r="AW134">
            <v>2366398119.882102</v>
          </cell>
          <cell r="AX134">
            <v>2735558734.8140879</v>
          </cell>
          <cell r="AY134">
            <v>3455031447.6019382</v>
          </cell>
          <cell r="AZ134">
            <v>4223152219.2439027</v>
          </cell>
          <cell r="BA134">
            <v>5446434031.690423</v>
          </cell>
          <cell r="BB134">
            <v>5836138127.0656242</v>
          </cell>
          <cell r="BC134">
            <v>7131773632.713686</v>
          </cell>
          <cell r="BD134">
            <v>8750107401.5787239</v>
          </cell>
          <cell r="BE134">
            <v>10192848926.258152</v>
          </cell>
          <cell r="BF134">
            <v>11983252626.831318</v>
          </cell>
          <cell r="BG134">
            <v>13279248478.816078</v>
          </cell>
          <cell r="BH134">
            <v>14426381187.089439</v>
          </cell>
          <cell r="BI134">
            <v>15912495368.871679</v>
          </cell>
          <cell r="BJ134">
            <v>17071162084.406733</v>
          </cell>
          <cell r="BK134">
            <v>18141651381.388424</v>
          </cell>
          <cell r="BL134">
            <v>18740559554.163242</v>
          </cell>
          <cell r="BM134">
            <v>18981800705.079376</v>
          </cell>
        </row>
        <row r="135">
          <cell r="B135" t="str">
            <v>LBN</v>
          </cell>
          <cell r="C135" t="str">
            <v>GDP (current US$)</v>
          </cell>
          <cell r="D135" t="str">
            <v>NY.GDP.MKTP.CD</v>
          </cell>
          <cell r="AG135">
            <v>3313540067.9324584</v>
          </cell>
          <cell r="AH135">
            <v>2717998687.7100158</v>
          </cell>
          <cell r="AI135">
            <v>2838485353.9618664</v>
          </cell>
          <cell r="AJ135">
            <v>4690415092.5366325</v>
          </cell>
          <cell r="AK135">
            <v>5843579160.9012194</v>
          </cell>
          <cell r="AL135">
            <v>7941744492.1211014</v>
          </cell>
          <cell r="AM135">
            <v>9599127049.9375038</v>
          </cell>
          <cell r="AN135">
            <v>11718795528.493893</v>
          </cell>
          <cell r="AO135">
            <v>13690217333.269695</v>
          </cell>
          <cell r="AP135">
            <v>15751867489.444624</v>
          </cell>
          <cell r="AQ135">
            <v>17247179005.521946</v>
          </cell>
          <cell r="AR135">
            <v>17391056369.226524</v>
          </cell>
          <cell r="AS135">
            <v>17260364842.454395</v>
          </cell>
          <cell r="AT135">
            <v>17649751243.781094</v>
          </cell>
          <cell r="AU135">
            <v>19152238805.97015</v>
          </cell>
          <cell r="AV135">
            <v>20082918739.635159</v>
          </cell>
          <cell r="AW135">
            <v>21159827992.039803</v>
          </cell>
          <cell r="AX135">
            <v>21497336498.971809</v>
          </cell>
          <cell r="AY135">
            <v>22022709851.54229</v>
          </cell>
          <cell r="AZ135">
            <v>24827355014.660034</v>
          </cell>
          <cell r="BA135">
            <v>29118916105.605309</v>
          </cell>
          <cell r="BB135">
            <v>35399582928.62355</v>
          </cell>
          <cell r="BC135">
            <v>38443907042.321724</v>
          </cell>
          <cell r="BD135">
            <v>39927125961.194031</v>
          </cell>
          <cell r="BE135">
            <v>44016799515.820892</v>
          </cell>
          <cell r="BF135">
            <v>46880103080.663353</v>
          </cell>
          <cell r="BG135">
            <v>48095213746.467659</v>
          </cell>
          <cell r="BH135">
            <v>49929337837.081261</v>
          </cell>
          <cell r="BI135">
            <v>51147308773.930351</v>
          </cell>
          <cell r="BJ135">
            <v>53027680685.837479</v>
          </cell>
          <cell r="BK135">
            <v>54901519155.621887</v>
          </cell>
          <cell r="BL135">
            <v>51605959131.365379</v>
          </cell>
          <cell r="BM135">
            <v>31712128253.796097</v>
          </cell>
        </row>
        <row r="136">
          <cell r="B136" t="str">
            <v>LBR</v>
          </cell>
          <cell r="C136" t="str">
            <v>GDP (current US$)</v>
          </cell>
          <cell r="D136" t="str">
            <v>NY.GDP.MKTP.CD</v>
          </cell>
          <cell r="AS136">
            <v>874000000</v>
          </cell>
          <cell r="AT136">
            <v>906000000</v>
          </cell>
          <cell r="AU136">
            <v>927000000</v>
          </cell>
          <cell r="AV136">
            <v>748000000</v>
          </cell>
          <cell r="AW136">
            <v>897000000</v>
          </cell>
          <cell r="AX136">
            <v>949000000</v>
          </cell>
          <cell r="AY136">
            <v>1119000000</v>
          </cell>
          <cell r="AZ136">
            <v>1373000000</v>
          </cell>
          <cell r="BA136">
            <v>1726000000</v>
          </cell>
          <cell r="BB136">
            <v>1768000000</v>
          </cell>
          <cell r="BC136">
            <v>1998000000</v>
          </cell>
          <cell r="BD136">
            <v>2398000000</v>
          </cell>
          <cell r="BE136">
            <v>2791614000</v>
          </cell>
          <cell r="BF136">
            <v>3177198100</v>
          </cell>
          <cell r="BG136">
            <v>3225652000</v>
          </cell>
          <cell r="BH136">
            <v>3227075700</v>
          </cell>
          <cell r="BI136">
            <v>3398419600</v>
          </cell>
          <cell r="BJ136">
            <v>3390703400</v>
          </cell>
          <cell r="BK136">
            <v>3422754800</v>
          </cell>
          <cell r="BL136">
            <v>3319596500</v>
          </cell>
          <cell r="BM136">
            <v>3039982500</v>
          </cell>
        </row>
        <row r="137">
          <cell r="B137" t="str">
            <v>LBY</v>
          </cell>
          <cell r="C137" t="str">
            <v>GDP (current US$)</v>
          </cell>
          <cell r="D137" t="str">
            <v>NY.GDP.MKTP.CD</v>
          </cell>
          <cell r="AI137">
            <v>28904164239.303799</v>
          </cell>
          <cell r="AJ137">
            <v>31991785107.628769</v>
          </cell>
          <cell r="AK137">
            <v>33887005287.737598</v>
          </cell>
          <cell r="AL137">
            <v>30660029871.151478</v>
          </cell>
          <cell r="AM137">
            <v>28610532505.414921</v>
          </cell>
          <cell r="AN137">
            <v>25541383196.730171</v>
          </cell>
          <cell r="AO137">
            <v>27884630117.575768</v>
          </cell>
          <cell r="AP137">
            <v>30700890193.316254</v>
          </cell>
          <cell r="AQ137">
            <v>27251275902.549061</v>
          </cell>
          <cell r="AR137">
            <v>35975878804.296951</v>
          </cell>
          <cell r="AS137">
            <v>38270983031.82457</v>
          </cell>
          <cell r="AT137">
            <v>34112079628.569321</v>
          </cell>
          <cell r="AU137">
            <v>20481889763.779526</v>
          </cell>
          <cell r="AV137">
            <v>26265625000</v>
          </cell>
          <cell r="AW137">
            <v>33122307692.30769</v>
          </cell>
          <cell r="AX137">
            <v>47334697611.854836</v>
          </cell>
          <cell r="AY137">
            <v>60094248771.991806</v>
          </cell>
          <cell r="AZ137">
            <v>68032985520.267586</v>
          </cell>
          <cell r="BA137">
            <v>86710739534.552551</v>
          </cell>
          <cell r="BB137">
            <v>60808538330.341743</v>
          </cell>
          <cell r="BC137">
            <v>75380800664.419815</v>
          </cell>
          <cell r="BD137">
            <v>48169243831.914116</v>
          </cell>
          <cell r="BE137">
            <v>92540964665.557846</v>
          </cell>
          <cell r="BF137">
            <v>75351117628.307968</v>
          </cell>
          <cell r="BG137">
            <v>57372352562.488808</v>
          </cell>
          <cell r="BH137">
            <v>48717506272.698112</v>
          </cell>
          <cell r="BI137">
            <v>49912085228.348671</v>
          </cell>
          <cell r="BJ137">
            <v>67157451660.27272</v>
          </cell>
          <cell r="BK137">
            <v>76686048499.352661</v>
          </cell>
          <cell r="BL137">
            <v>69254143968.339767</v>
          </cell>
          <cell r="BM137">
            <v>46808208747.275436</v>
          </cell>
        </row>
        <row r="138">
          <cell r="B138" t="str">
            <v>LCA</v>
          </cell>
          <cell r="C138" t="str">
            <v>GDP (current US$)</v>
          </cell>
          <cell r="D138" t="str">
            <v>NY.GDP.MKTP.CD</v>
          </cell>
          <cell r="Y138">
            <v>170370370.37037036</v>
          </cell>
          <cell r="Z138">
            <v>194444444.44444442</v>
          </cell>
          <cell r="AA138">
            <v>183333333.33333331</v>
          </cell>
          <cell r="AB138">
            <v>197037037.03703701</v>
          </cell>
          <cell r="AC138">
            <v>251481481.48148146</v>
          </cell>
          <cell r="AD138">
            <v>284444444.44444442</v>
          </cell>
          <cell r="AE138">
            <v>340000000</v>
          </cell>
          <cell r="AF138">
            <v>375555555.55555552</v>
          </cell>
          <cell r="AG138">
            <v>429629629.62962961</v>
          </cell>
          <cell r="AH138">
            <v>486666666.66666663</v>
          </cell>
          <cell r="AI138">
            <v>579629629.62962961</v>
          </cell>
          <cell r="AJ138">
            <v>613703703.70370364</v>
          </cell>
          <cell r="AK138">
            <v>674074074.07407403</v>
          </cell>
          <cell r="AL138">
            <v>684814814.81481481</v>
          </cell>
          <cell r="AM138">
            <v>713703703.70370364</v>
          </cell>
          <cell r="AN138">
            <v>762962962.96296287</v>
          </cell>
          <cell r="AO138">
            <v>788888888.88888884</v>
          </cell>
          <cell r="AP138">
            <v>805925925.92592585</v>
          </cell>
          <cell r="AQ138">
            <v>877407407.4074074</v>
          </cell>
          <cell r="AR138">
            <v>921851851.85185182</v>
          </cell>
          <cell r="AS138">
            <v>932592592.59259248</v>
          </cell>
          <cell r="AT138">
            <v>892592592.59259248</v>
          </cell>
          <cell r="AU138">
            <v>900000000</v>
          </cell>
          <cell r="AV138">
            <v>987407407.40740728</v>
          </cell>
          <cell r="AW138">
            <v>1066666666.6666666</v>
          </cell>
          <cell r="AX138">
            <v>1135555555.5555556</v>
          </cell>
          <cell r="AY138">
            <v>1268319185.1851852</v>
          </cell>
          <cell r="AZ138">
            <v>1336088814.8148148</v>
          </cell>
          <cell r="BA138">
            <v>1437731111.1111109</v>
          </cell>
          <cell r="BB138">
            <v>1401507888.8888888</v>
          </cell>
          <cell r="BC138">
            <v>1482370370.3703704</v>
          </cell>
          <cell r="BD138">
            <v>1568370370.3703704</v>
          </cell>
          <cell r="BE138">
            <v>1598222222.2222221</v>
          </cell>
          <cell r="BF138">
            <v>1660222222.2222221</v>
          </cell>
          <cell r="BG138">
            <v>1749296296.2962961</v>
          </cell>
          <cell r="BH138">
            <v>1807222222.2222221</v>
          </cell>
          <cell r="BI138">
            <v>1865444444.4444444</v>
          </cell>
          <cell r="BJ138">
            <v>1996703703.7037036</v>
          </cell>
          <cell r="BK138">
            <v>2057074074.074074</v>
          </cell>
          <cell r="BL138">
            <v>2094185185.185185</v>
          </cell>
          <cell r="BM138">
            <v>1516000000</v>
          </cell>
        </row>
        <row r="139">
          <cell r="B139" t="str">
            <v>LCN</v>
          </cell>
          <cell r="C139" t="str">
            <v>GDP (current US$)</v>
          </cell>
          <cell r="D139" t="str">
            <v>NY.GDP.MKTP.CD</v>
          </cell>
          <cell r="E139">
            <v>84318575227.748093</v>
          </cell>
          <cell r="F139">
            <v>89675894612.835342</v>
          </cell>
          <cell r="G139">
            <v>98223077655.422729</v>
          </cell>
          <cell r="H139">
            <v>99825291120.700836</v>
          </cell>
          <cell r="I139">
            <v>111007004326.04739</v>
          </cell>
          <cell r="J139">
            <v>119321358656.6362</v>
          </cell>
          <cell r="K139">
            <v>131372225704.13083</v>
          </cell>
          <cell r="L139">
            <v>133988765349.13921</v>
          </cell>
          <cell r="M139">
            <v>143800251072.14459</v>
          </cell>
          <cell r="N139">
            <v>160632293252.97592</v>
          </cell>
          <cell r="O139">
            <v>175240043825.85962</v>
          </cell>
          <cell r="P139">
            <v>195438627761.00253</v>
          </cell>
          <cell r="Q139">
            <v>219799370310.71457</v>
          </cell>
          <cell r="R139">
            <v>292374754566.073</v>
          </cell>
          <cell r="S139">
            <v>379037627171.51416</v>
          </cell>
          <cell r="T139">
            <v>397575551770.33453</v>
          </cell>
          <cell r="U139">
            <v>436013451488.33258</v>
          </cell>
          <cell r="V139">
            <v>478835118003.8031</v>
          </cell>
          <cell r="W139">
            <v>574135939798.51477</v>
          </cell>
          <cell r="X139">
            <v>644210824206.37439</v>
          </cell>
          <cell r="Y139">
            <v>783195794768.8645</v>
          </cell>
          <cell r="Z139">
            <v>894234459001.92566</v>
          </cell>
          <cell r="AA139">
            <v>829114297208.29333</v>
          </cell>
          <cell r="AB139">
            <v>726344898907.75024</v>
          </cell>
          <cell r="AC139">
            <v>764325858454.20325</v>
          </cell>
          <cell r="AD139">
            <v>755896507938.20789</v>
          </cell>
          <cell r="AE139">
            <v>765359263970.31665</v>
          </cell>
          <cell r="AF139">
            <v>821438499128.09082</v>
          </cell>
          <cell r="AG139">
            <v>900990448826.75464</v>
          </cell>
          <cell r="AH139">
            <v>994835204858.41467</v>
          </cell>
          <cell r="AI139">
            <v>1182388726802.3523</v>
          </cell>
          <cell r="AJ139">
            <v>1255265130869.1987</v>
          </cell>
          <cell r="AK139">
            <v>1361340161546.9917</v>
          </cell>
          <cell r="AL139">
            <v>1577325564649.2542</v>
          </cell>
          <cell r="AM139">
            <v>1790101644829.4209</v>
          </cell>
          <cell r="AN139">
            <v>1921600530928.8218</v>
          </cell>
          <cell r="AO139">
            <v>2079817890114.0894</v>
          </cell>
          <cell r="AP139">
            <v>2280268567139.3794</v>
          </cell>
          <cell r="AQ139">
            <v>2300623733039.0977</v>
          </cell>
          <cell r="AR139">
            <v>2076139362655.0073</v>
          </cell>
          <cell r="AS139">
            <v>2292616638222.3447</v>
          </cell>
          <cell r="AT139">
            <v>2243442747463.7632</v>
          </cell>
          <cell r="AU139">
            <v>2014495003952.928</v>
          </cell>
          <cell r="AV139">
            <v>2055791160220.7834</v>
          </cell>
          <cell r="AW139">
            <v>2368190257952.2759</v>
          </cell>
          <cell r="AX139">
            <v>2862846929424.8618</v>
          </cell>
          <cell r="AY139">
            <v>3351829873357.0117</v>
          </cell>
          <cell r="AZ139">
            <v>3948805125189.7236</v>
          </cell>
          <cell r="BA139">
            <v>4591296955065.0605</v>
          </cell>
          <cell r="BB139">
            <v>4314362221813.6709</v>
          </cell>
          <cell r="BC139">
            <v>5349060248474.0264</v>
          </cell>
          <cell r="BD139">
            <v>6088730809328.625</v>
          </cell>
          <cell r="BE139">
            <v>6155024383504.0947</v>
          </cell>
          <cell r="BF139">
            <v>6307751441599.8652</v>
          </cell>
          <cell r="BG139">
            <v>6432625813025.4434</v>
          </cell>
          <cell r="BH139">
            <v>5376540613253.8398</v>
          </cell>
          <cell r="BI139">
            <v>5249746391043.5684</v>
          </cell>
          <cell r="BJ139">
            <v>5832610432359.3994</v>
          </cell>
          <cell r="BK139">
            <v>5706087467774.4619</v>
          </cell>
          <cell r="BL139">
            <v>5622813152782.542</v>
          </cell>
          <cell r="BM139">
            <v>4777568569259.7197</v>
          </cell>
        </row>
        <row r="140">
          <cell r="B140" t="str">
            <v>LDC</v>
          </cell>
          <cell r="C140" t="str">
            <v>GDP (current US$)</v>
          </cell>
          <cell r="D140" t="str">
            <v>NY.GDP.MKTP.CD</v>
          </cell>
          <cell r="Y140">
            <v>114388369068.08511</v>
          </cell>
          <cell r="Z140">
            <v>114943011933.73721</v>
          </cell>
          <cell r="AA140">
            <v>112848745156.73024</v>
          </cell>
          <cell r="AB140">
            <v>107374274962.50902</v>
          </cell>
          <cell r="AC140">
            <v>107081110481.50624</v>
          </cell>
          <cell r="AD140">
            <v>112104592681.8268</v>
          </cell>
          <cell r="AE140">
            <v>120734699670.91037</v>
          </cell>
          <cell r="AF140">
            <v>132694713024.30345</v>
          </cell>
          <cell r="AG140">
            <v>146223434472.68729</v>
          </cell>
          <cell r="AH140">
            <v>157936434389.62595</v>
          </cell>
          <cell r="AI140">
            <v>183320992524.6969</v>
          </cell>
          <cell r="AJ140">
            <v>199242726122.47333</v>
          </cell>
          <cell r="AK140">
            <v>155907494888.32129</v>
          </cell>
          <cell r="AL140">
            <v>154503526457.34546</v>
          </cell>
          <cell r="AM140">
            <v>136273002895.92323</v>
          </cell>
          <cell r="AN140">
            <v>157454198833.33267</v>
          </cell>
          <cell r="AO140">
            <v>173942915415.89221</v>
          </cell>
          <cell r="AP140">
            <v>183070947764.70966</v>
          </cell>
          <cell r="AQ140">
            <v>185798413620.16913</v>
          </cell>
          <cell r="AR140">
            <v>190711896125.82333</v>
          </cell>
          <cell r="AS140">
            <v>218551115853.24545</v>
          </cell>
          <cell r="AT140">
            <v>213552754871.93869</v>
          </cell>
          <cell r="AU140">
            <v>232634513018.35971</v>
          </cell>
          <cell r="AV140">
            <v>260880555873.82483</v>
          </cell>
          <cell r="AW140">
            <v>301221296680.88361</v>
          </cell>
          <cell r="AX140">
            <v>355554375620.8811</v>
          </cell>
          <cell r="AY140">
            <v>412394708354.56451</v>
          </cell>
          <cell r="AZ140">
            <v>494316747340.85596</v>
          </cell>
          <cell r="BA140">
            <v>603522585096.70972</v>
          </cell>
          <cell r="BB140">
            <v>607850693730.48462</v>
          </cell>
          <cell r="BC140">
            <v>690376684490.48083</v>
          </cell>
          <cell r="BD140">
            <v>801926397361.64111</v>
          </cell>
          <cell r="BE140">
            <v>841893938607.49817</v>
          </cell>
          <cell r="BF140">
            <v>917315427880.03052</v>
          </cell>
          <cell r="BG140">
            <v>985868650324.88464</v>
          </cell>
          <cell r="BH140">
            <v>954995951520.47485</v>
          </cell>
          <cell r="BI140">
            <v>990949126516.12451</v>
          </cell>
          <cell r="BJ140">
            <v>1104009004406.9875</v>
          </cell>
          <cell r="BK140">
            <v>1088187940163.632</v>
          </cell>
          <cell r="BL140">
            <v>1142396570094.3857</v>
          </cell>
          <cell r="BM140">
            <v>1162434896497.1387</v>
          </cell>
        </row>
        <row r="141">
          <cell r="B141" t="str">
            <v>LIC</v>
          </cell>
          <cell r="C141" t="str">
            <v>GDP (current US$)</v>
          </cell>
          <cell r="D141" t="str">
            <v>NY.GDP.MKTP.CD</v>
          </cell>
          <cell r="Y141">
            <v>79273100613.319473</v>
          </cell>
          <cell r="Z141">
            <v>82152079439.370117</v>
          </cell>
          <cell r="AA141">
            <v>83082665445.089569</v>
          </cell>
          <cell r="AB141">
            <v>80808247585.444794</v>
          </cell>
          <cell r="AC141">
            <v>79897230355.153885</v>
          </cell>
          <cell r="AD141">
            <v>80959127303.036499</v>
          </cell>
          <cell r="AE141">
            <v>93711044717.62384</v>
          </cell>
          <cell r="AF141">
            <v>108569520029.56798</v>
          </cell>
          <cell r="AG141">
            <v>96499580054.631363</v>
          </cell>
          <cell r="AH141">
            <v>106972330651.24384</v>
          </cell>
          <cell r="AI141">
            <v>133152119892.90662</v>
          </cell>
          <cell r="AJ141">
            <v>150296897634.33167</v>
          </cell>
          <cell r="AK141">
            <v>109064524068.69786</v>
          </cell>
          <cell r="AL141">
            <v>114396664382.04938</v>
          </cell>
          <cell r="AM141">
            <v>112060501889.70152</v>
          </cell>
          <cell r="AN141">
            <v>126699296198.00383</v>
          </cell>
          <cell r="AO141">
            <v>141129843390.56238</v>
          </cell>
          <cell r="AP141">
            <v>152153404915.86667</v>
          </cell>
          <cell r="AQ141">
            <v>155897783697.89679</v>
          </cell>
          <cell r="AR141">
            <v>158734615370.08636</v>
          </cell>
          <cell r="AS141">
            <v>186507132817.43726</v>
          </cell>
          <cell r="AT141">
            <v>186458183385.33914</v>
          </cell>
          <cell r="AU141">
            <v>200866631978.46188</v>
          </cell>
          <cell r="AV141">
            <v>219319364793.51355</v>
          </cell>
          <cell r="AW141">
            <v>257456872752.60886</v>
          </cell>
          <cell r="AX141">
            <v>308114007902.30573</v>
          </cell>
          <cell r="AY141">
            <v>356075978932.66705</v>
          </cell>
          <cell r="AZ141">
            <v>427293203252.47888</v>
          </cell>
          <cell r="BA141">
            <v>512642412198.41449</v>
          </cell>
          <cell r="BB141">
            <v>526007753879.31049</v>
          </cell>
          <cell r="BC141">
            <v>591637362905.2002</v>
          </cell>
          <cell r="BD141">
            <v>430766376180.91699</v>
          </cell>
          <cell r="BE141">
            <v>408599413746.52887</v>
          </cell>
          <cell r="BF141">
            <v>416884104097.29559</v>
          </cell>
          <cell r="BG141">
            <v>448530521691.19739</v>
          </cell>
          <cell r="BH141">
            <v>449577756120.78149</v>
          </cell>
          <cell r="BI141">
            <v>444439642488.11084</v>
          </cell>
          <cell r="BJ141">
            <v>491499092098.70868</v>
          </cell>
          <cell r="BK141">
            <v>415816146816.48981</v>
          </cell>
          <cell r="BL141">
            <v>442286990942.08105</v>
          </cell>
          <cell r="BM141">
            <v>436035519309.05969</v>
          </cell>
        </row>
        <row r="142">
          <cell r="B142" t="str">
            <v>LIE</v>
          </cell>
          <cell r="C142" t="str">
            <v>GDP (current US$)</v>
          </cell>
          <cell r="D142" t="str">
            <v>NY.GDP.MKTP.CD</v>
          </cell>
          <cell r="O142">
            <v>90099360.773871034</v>
          </cell>
          <cell r="P142">
            <v>104889791.06320335</v>
          </cell>
          <cell r="Q142">
            <v>124940289.35653342</v>
          </cell>
          <cell r="R142">
            <v>165928864.12726343</v>
          </cell>
          <cell r="S142">
            <v>193980464.94721171</v>
          </cell>
          <cell r="T142">
            <v>246389070.12371978</v>
          </cell>
          <cell r="U142">
            <v>272489336.90486914</v>
          </cell>
          <cell r="V142">
            <v>303493119.56494308</v>
          </cell>
          <cell r="W142">
            <v>436912067.96755308</v>
          </cell>
          <cell r="X142">
            <v>503173104.66928911</v>
          </cell>
          <cell r="Y142">
            <v>534699256.77262425</v>
          </cell>
          <cell r="Z142">
            <v>511647837.14685524</v>
          </cell>
          <cell r="AA142">
            <v>522096760.52682042</v>
          </cell>
          <cell r="AB142">
            <v>524023708.33174914</v>
          </cell>
          <cell r="AC142">
            <v>502620920.65653336</v>
          </cell>
          <cell r="AD142">
            <v>529073612.45357889</v>
          </cell>
          <cell r="AE142">
            <v>779357946.98469985</v>
          </cell>
          <cell r="AF142">
            <v>1052849231.319468</v>
          </cell>
          <cell r="AG142">
            <v>1161757671.0175631</v>
          </cell>
          <cell r="AH142">
            <v>1119983801.2133808</v>
          </cell>
          <cell r="AI142">
            <v>1421508875.2781994</v>
          </cell>
          <cell r="AJ142">
            <v>1484160643.6946738</v>
          </cell>
          <cell r="AK142">
            <v>1631176646.6591287</v>
          </cell>
          <cell r="AL142">
            <v>1673085618.3424082</v>
          </cell>
          <cell r="AM142">
            <v>1948128910.5555525</v>
          </cell>
          <cell r="AN142">
            <v>2428524711.5575957</v>
          </cell>
          <cell r="AO142">
            <v>2504012993.4223833</v>
          </cell>
          <cell r="AP142">
            <v>2298390594.7202964</v>
          </cell>
          <cell r="AQ142">
            <v>2479698575.8118057</v>
          </cell>
          <cell r="AR142">
            <v>2664105901.1886258</v>
          </cell>
          <cell r="AS142">
            <v>2483890593.705452</v>
          </cell>
          <cell r="AT142">
            <v>2491800558.7767353</v>
          </cell>
          <cell r="AU142">
            <v>2688617884.8748002</v>
          </cell>
          <cell r="AV142">
            <v>3070803439.0770769</v>
          </cell>
          <cell r="AW142">
            <v>3454374269.9965467</v>
          </cell>
          <cell r="AX142">
            <v>3659320086.6829605</v>
          </cell>
          <cell r="AY142">
            <v>4000101033.3563762</v>
          </cell>
          <cell r="AZ142">
            <v>4601430548.885251</v>
          </cell>
          <cell r="BA142">
            <v>5081479840.0871572</v>
          </cell>
          <cell r="BB142">
            <v>4504376589.9239044</v>
          </cell>
          <cell r="BC142">
            <v>5082338964.8730526</v>
          </cell>
          <cell r="BD142">
            <v>5739705822.4816866</v>
          </cell>
          <cell r="BE142">
            <v>5456099685.1858158</v>
          </cell>
          <cell r="BF142">
            <v>6391711429.2314634</v>
          </cell>
          <cell r="BG142">
            <v>6657526636.1173115</v>
          </cell>
          <cell r="BH142">
            <v>6268513139.702879</v>
          </cell>
          <cell r="BI142">
            <v>6237299538.029336</v>
          </cell>
          <cell r="BJ142">
            <v>6474310909.5063581</v>
          </cell>
          <cell r="BK142">
            <v>6692618410.5125036</v>
          </cell>
          <cell r="BL142">
            <v>6436467007.119318</v>
          </cell>
          <cell r="BM142">
            <v>6405765970.4778023</v>
          </cell>
        </row>
        <row r="143">
          <cell r="B143" t="str">
            <v>LKA</v>
          </cell>
          <cell r="C143" t="str">
            <v>GDP (current US$)</v>
          </cell>
          <cell r="D143" t="str">
            <v>NY.GDP.MKTP.CD</v>
          </cell>
          <cell r="E143">
            <v>1409873949.5798321</v>
          </cell>
          <cell r="F143">
            <v>1444327731.092437</v>
          </cell>
          <cell r="G143">
            <v>1434156378.6008229</v>
          </cell>
          <cell r="H143">
            <v>1240672268.907563</v>
          </cell>
          <cell r="I143">
            <v>1309747899.1596639</v>
          </cell>
          <cell r="J143">
            <v>1698319327.7310925</v>
          </cell>
          <cell r="K143">
            <v>1751470588.2352941</v>
          </cell>
          <cell r="L143">
            <v>1859465020.5761316</v>
          </cell>
          <cell r="M143">
            <v>1801344537.8151259</v>
          </cell>
          <cell r="N143">
            <v>1965546218.4873948</v>
          </cell>
          <cell r="O143">
            <v>2296470588.2352939</v>
          </cell>
          <cell r="P143">
            <v>2369308600.3372684</v>
          </cell>
          <cell r="Q143">
            <v>2553936348.4087105</v>
          </cell>
          <cell r="R143">
            <v>2875625000</v>
          </cell>
          <cell r="S143">
            <v>3574586466.1654134</v>
          </cell>
          <cell r="T143">
            <v>3791298145.5064197</v>
          </cell>
          <cell r="U143">
            <v>3591319857.3127227</v>
          </cell>
          <cell r="V143">
            <v>4104509582.8635855</v>
          </cell>
          <cell r="W143">
            <v>2733183856.5022421</v>
          </cell>
          <cell r="X143">
            <v>3364611432.2414899</v>
          </cell>
          <cell r="Y143">
            <v>4024621899.5765271</v>
          </cell>
          <cell r="Z143">
            <v>4415844155.8441563</v>
          </cell>
          <cell r="AA143">
            <v>4768765016.8188372</v>
          </cell>
          <cell r="AB143">
            <v>5167913302.1674452</v>
          </cell>
          <cell r="AC143">
            <v>6043474842.7672949</v>
          </cell>
          <cell r="AD143">
            <v>5978460972.0176735</v>
          </cell>
          <cell r="AE143">
            <v>6405210563.8829412</v>
          </cell>
          <cell r="AF143">
            <v>6682167119.565217</v>
          </cell>
          <cell r="AG143">
            <v>6978371581.2637539</v>
          </cell>
          <cell r="AH143">
            <v>6987267683.7725391</v>
          </cell>
          <cell r="AI143">
            <v>8032551173.240139</v>
          </cell>
          <cell r="AJ143">
            <v>9000362581.5808563</v>
          </cell>
          <cell r="AK143">
            <v>9703011635.8658466</v>
          </cell>
          <cell r="AL143">
            <v>10338679635.761589</v>
          </cell>
          <cell r="AM143">
            <v>11717604208.822338</v>
          </cell>
          <cell r="AN143">
            <v>13029697560.975609</v>
          </cell>
          <cell r="AO143">
            <v>13897738375.248777</v>
          </cell>
          <cell r="AP143">
            <v>15091913883.709103</v>
          </cell>
          <cell r="AQ143">
            <v>15794972847.168346</v>
          </cell>
          <cell r="AR143">
            <v>15656327859.569649</v>
          </cell>
          <cell r="AS143">
            <v>16330814179.976625</v>
          </cell>
          <cell r="AT143">
            <v>15749753804.834377</v>
          </cell>
          <cell r="AU143">
            <v>16536535647.083422</v>
          </cell>
          <cell r="AV143">
            <v>18881765437.215084</v>
          </cell>
          <cell r="AW143">
            <v>20662525941.29855</v>
          </cell>
          <cell r="AX143">
            <v>24405791044.776119</v>
          </cell>
          <cell r="AY143">
            <v>28279802451.2714</v>
          </cell>
          <cell r="AZ143">
            <v>32350238662.945221</v>
          </cell>
          <cell r="BA143">
            <v>40713826320.502251</v>
          </cell>
          <cell r="BB143">
            <v>42066223971.01693</v>
          </cell>
          <cell r="BC143">
            <v>58636160848.94973</v>
          </cell>
          <cell r="BD143">
            <v>67753284134.991264</v>
          </cell>
          <cell r="BE143">
            <v>70447217163.616745</v>
          </cell>
          <cell r="BF143">
            <v>77000578207.390915</v>
          </cell>
          <cell r="BG143">
            <v>82528535572.542938</v>
          </cell>
          <cell r="BH143">
            <v>85140955516.750458</v>
          </cell>
          <cell r="BI143">
            <v>88012281909.752197</v>
          </cell>
          <cell r="BJ143">
            <v>94376237831.577835</v>
          </cell>
          <cell r="BK143">
            <v>94493871351.421692</v>
          </cell>
          <cell r="BL143">
            <v>89014978319.070267</v>
          </cell>
          <cell r="BM143">
            <v>84440535698.820724</v>
          </cell>
        </row>
        <row r="144">
          <cell r="B144" t="str">
            <v>LMC</v>
          </cell>
          <cell r="C144" t="str">
            <v>GDP (current US$)</v>
          </cell>
          <cell r="D144" t="str">
            <v>NY.GDP.MKTP.CD</v>
          </cell>
          <cell r="E144">
            <v>88132926255.984436</v>
          </cell>
          <cell r="F144">
            <v>93268101022.508728</v>
          </cell>
          <cell r="G144">
            <v>94753315348.156616</v>
          </cell>
          <cell r="H144">
            <v>105425780799.22089</v>
          </cell>
          <cell r="I144">
            <v>118413401901.66977</v>
          </cell>
          <cell r="J144">
            <v>127851800754.59088</v>
          </cell>
          <cell r="K144">
            <v>117578193580.32454</v>
          </cell>
          <cell r="L144">
            <v>125596732205.05664</v>
          </cell>
          <cell r="M144">
            <v>134304853998.19083</v>
          </cell>
          <cell r="N144">
            <v>148999995284.724</v>
          </cell>
          <cell r="O144">
            <v>164717108993.53561</v>
          </cell>
          <cell r="P144">
            <v>173885669458.29108</v>
          </cell>
          <cell r="Q144">
            <v>188492876223.36105</v>
          </cell>
          <cell r="R144">
            <v>229847388939.66205</v>
          </cell>
          <cell r="S144">
            <v>301181598425.33984</v>
          </cell>
          <cell r="T144">
            <v>332573013999.11499</v>
          </cell>
          <cell r="U144">
            <v>366594522953.83093</v>
          </cell>
          <cell r="V144">
            <v>418185902076.75507</v>
          </cell>
          <cell r="W144">
            <v>460594088379.21692</v>
          </cell>
          <cell r="X144">
            <v>538549797506.08881</v>
          </cell>
          <cell r="Y144">
            <v>643335562350.07239</v>
          </cell>
          <cell r="Z144">
            <v>776012683487.32007</v>
          </cell>
          <cell r="AA144">
            <v>796818086583.59485</v>
          </cell>
          <cell r="AB144">
            <v>796475352892.60168</v>
          </cell>
          <cell r="AC144">
            <v>780993433162.38428</v>
          </cell>
          <cell r="AD144">
            <v>836784764508.3938</v>
          </cell>
          <cell r="AE144">
            <v>902375564002.8396</v>
          </cell>
          <cell r="AF144">
            <v>886692535665.64282</v>
          </cell>
          <cell r="AG144">
            <v>896894243934.22314</v>
          </cell>
          <cell r="AH144">
            <v>884736574447.04346</v>
          </cell>
          <cell r="AI144">
            <v>948098011389.7655</v>
          </cell>
          <cell r="AJ144">
            <v>881412281443.79504</v>
          </cell>
          <cell r="AK144">
            <v>923357143412.34888</v>
          </cell>
          <cell r="AL144">
            <v>897000718772.01465</v>
          </cell>
          <cell r="AM144">
            <v>952834991834.09448</v>
          </cell>
          <cell r="AN144">
            <v>1080682109013.7694</v>
          </cell>
          <cell r="AO144">
            <v>1206368113838.5388</v>
          </cell>
          <cell r="AP144">
            <v>1250994289523.6699</v>
          </cell>
          <cell r="AQ144">
            <v>1247921706311.4741</v>
          </cell>
          <cell r="AR144">
            <v>1309601706378.8364</v>
          </cell>
          <cell r="AS144">
            <v>1358443640078.6096</v>
          </cell>
          <cell r="AT144">
            <v>1397363668383.969</v>
          </cell>
          <cell r="AU144">
            <v>1471118317178.7842</v>
          </cell>
          <cell r="AV144">
            <v>1679995095258.5598</v>
          </cell>
          <cell r="AW144">
            <v>1962071316276.5481</v>
          </cell>
          <cell r="AX144">
            <v>2288548759444.8223</v>
          </cell>
          <cell r="AY144">
            <v>2691387582865.3115</v>
          </cell>
          <cell r="AZ144">
            <v>3319083827275.0942</v>
          </cell>
          <cell r="BA144">
            <v>3741331283478.2573</v>
          </cell>
          <cell r="BB144">
            <v>3785725583242.6758</v>
          </cell>
          <cell r="BC144">
            <v>4533254174586.7109</v>
          </cell>
          <cell r="BD144">
            <v>5187185590945.9004</v>
          </cell>
          <cell r="BE144">
            <v>5461792142964.6035</v>
          </cell>
          <cell r="BF144">
            <v>5578818648329.0801</v>
          </cell>
          <cell r="BG144">
            <v>5868162623218.5781</v>
          </cell>
          <cell r="BH144">
            <v>5716557622624.5605</v>
          </cell>
          <cell r="BI144">
            <v>5997917461749.3994</v>
          </cell>
          <cell r="BJ144">
            <v>6447085710234.6602</v>
          </cell>
          <cell r="BK144">
            <v>6606760498754.6494</v>
          </cell>
          <cell r="BL144">
            <v>6874526773448.2432</v>
          </cell>
          <cell r="BM144">
            <v>6619062047763.5361</v>
          </cell>
        </row>
        <row r="145">
          <cell r="B145" t="str">
            <v>LMY</v>
          </cell>
          <cell r="C145" t="str">
            <v>GDP (current US$)</v>
          </cell>
          <cell r="D145" t="str">
            <v>NY.GDP.MKTP.CD</v>
          </cell>
          <cell r="E145">
            <v>328460411085.23157</v>
          </cell>
          <cell r="F145">
            <v>325549054205.90527</v>
          </cell>
          <cell r="G145">
            <v>334089795902.26324</v>
          </cell>
          <cell r="H145">
            <v>361346791000.70746</v>
          </cell>
          <cell r="I145">
            <v>404761663132.83551</v>
          </cell>
          <cell r="J145">
            <v>447569924976.62207</v>
          </cell>
          <cell r="K145">
            <v>464111355231.45343</v>
          </cell>
          <cell r="L145">
            <v>475529679883.88269</v>
          </cell>
          <cell r="M145">
            <v>502151386401.70459</v>
          </cell>
          <cell r="N145">
            <v>561543483498.25659</v>
          </cell>
          <cell r="O145">
            <v>616281204931.79688</v>
          </cell>
          <cell r="P145">
            <v>663112078289.5531</v>
          </cell>
          <cell r="Q145">
            <v>742014297845.54858</v>
          </cell>
          <cell r="R145">
            <v>946087039548.5752</v>
          </cell>
          <cell r="S145">
            <v>1199867355110.2498</v>
          </cell>
          <cell r="T145">
            <v>1328202014396.5066</v>
          </cell>
          <cell r="U145">
            <v>1426391221074.4612</v>
          </cell>
          <cell r="V145">
            <v>1602568048403.5847</v>
          </cell>
          <cell r="W145">
            <v>1781918482843.5469</v>
          </cell>
          <cell r="X145">
            <v>2063662372115.5898</v>
          </cell>
          <cell r="Y145">
            <v>2431398652800.5581</v>
          </cell>
          <cell r="Z145">
            <v>2730636435848.5117</v>
          </cell>
          <cell r="AA145">
            <v>2691172713846.3472</v>
          </cell>
          <cell r="AB145">
            <v>2600394883336.1006</v>
          </cell>
          <cell r="AC145">
            <v>2677911888320.9004</v>
          </cell>
          <cell r="AD145">
            <v>2775874534098.3721</v>
          </cell>
          <cell r="AE145">
            <v>2891559004748.6738</v>
          </cell>
          <cell r="AF145">
            <v>3007726506256.3091</v>
          </cell>
          <cell r="AG145">
            <v>3180356207103.7275</v>
          </cell>
          <cell r="AH145">
            <v>3321322715298.6348</v>
          </cell>
          <cell r="AI145">
            <v>3826579677452.6621</v>
          </cell>
          <cell r="AJ145">
            <v>3697670722944.6123</v>
          </cell>
          <cell r="AK145">
            <v>3819310056693.5088</v>
          </cell>
          <cell r="AL145">
            <v>4078054469337.4834</v>
          </cell>
          <cell r="AM145">
            <v>4409141222652.7773</v>
          </cell>
          <cell r="AN145">
            <v>4950449206237.6328</v>
          </cell>
          <cell r="AO145">
            <v>5428042349965.1074</v>
          </cell>
          <cell r="AP145">
            <v>5746357231856.6611</v>
          </cell>
          <cell r="AQ145">
            <v>5566939484996.4131</v>
          </cell>
          <cell r="AR145">
            <v>5452082318949.5742</v>
          </cell>
          <cell r="AS145">
            <v>5957805404623.1338</v>
          </cell>
          <cell r="AT145">
            <v>6012683195857.0381</v>
          </cell>
          <cell r="AU145">
            <v>6164611646170.8584</v>
          </cell>
          <cell r="AV145">
            <v>6945043770585.4473</v>
          </cell>
          <cell r="AW145">
            <v>8241824349157.0898</v>
          </cell>
          <cell r="AX145">
            <v>9810101604943.6543</v>
          </cell>
          <cell r="AY145">
            <v>11639461030836.982</v>
          </cell>
          <cell r="AZ145">
            <v>14370508850888.748</v>
          </cell>
          <cell r="BA145">
            <v>17192974516974.99</v>
          </cell>
          <cell r="BB145">
            <v>16816751222178.828</v>
          </cell>
          <cell r="BC145">
            <v>20465368009772.598</v>
          </cell>
          <cell r="BD145">
            <v>24151876656634.215</v>
          </cell>
          <cell r="BE145">
            <v>25698108062037.793</v>
          </cell>
          <cell r="BF145">
            <v>27210105126960.867</v>
          </cell>
          <cell r="BG145">
            <v>28140117982872.961</v>
          </cell>
          <cell r="BH145">
            <v>26681765753333.832</v>
          </cell>
          <cell r="BI145">
            <v>26916084709959.246</v>
          </cell>
          <cell r="BJ145">
            <v>29590502584084.809</v>
          </cell>
          <cell r="BK145">
            <v>31364367229265.613</v>
          </cell>
          <cell r="BL145">
            <v>32110421084434.422</v>
          </cell>
          <cell r="BM145">
            <v>30983506895431.531</v>
          </cell>
        </row>
        <row r="146">
          <cell r="B146" t="str">
            <v>LSO</v>
          </cell>
          <cell r="C146" t="str">
            <v>GDP (current US$)</v>
          </cell>
          <cell r="D146" t="str">
            <v>NY.GDP.MKTP.CD</v>
          </cell>
          <cell r="E146">
            <v>34579986.181837507</v>
          </cell>
          <cell r="F146">
            <v>35699985.73428569</v>
          </cell>
          <cell r="G146">
            <v>41859983.272750668</v>
          </cell>
          <cell r="H146">
            <v>47039981.202823497</v>
          </cell>
          <cell r="I146">
            <v>51939979.244784273</v>
          </cell>
          <cell r="J146">
            <v>54879978.069960743</v>
          </cell>
          <cell r="K146">
            <v>56699977.342689037</v>
          </cell>
          <cell r="L146">
            <v>59261976.318914242</v>
          </cell>
          <cell r="M146">
            <v>61445975.446188189</v>
          </cell>
          <cell r="N146">
            <v>65967973.639197707</v>
          </cell>
          <cell r="O146">
            <v>68739972.531506956</v>
          </cell>
          <cell r="P146">
            <v>76480293.952411234</v>
          </cell>
          <cell r="Q146">
            <v>80913175.462897971</v>
          </cell>
          <cell r="R146">
            <v>121188698.64206879</v>
          </cell>
          <cell r="S146">
            <v>150851315.73463553</v>
          </cell>
          <cell r="T146">
            <v>149558945.40373051</v>
          </cell>
          <cell r="U146">
            <v>147659999.8716</v>
          </cell>
          <cell r="V146">
            <v>193314999.8319</v>
          </cell>
          <cell r="W146">
            <v>266569999.76820001</v>
          </cell>
          <cell r="X146">
            <v>290134729.68374699</v>
          </cell>
          <cell r="Y146">
            <v>431542682.23601174</v>
          </cell>
          <cell r="Z146">
            <v>434188034.18803424</v>
          </cell>
          <cell r="AA146">
            <v>348741737.28404212</v>
          </cell>
          <cell r="AB146">
            <v>386699308.94594276</v>
          </cell>
          <cell r="AC146">
            <v>333163557.42108917</v>
          </cell>
          <cell r="AD146">
            <v>268629925.92311567</v>
          </cell>
          <cell r="AE146">
            <v>318858469.53822535</v>
          </cell>
          <cell r="AF146">
            <v>402768258.54193676</v>
          </cell>
          <cell r="AG146">
            <v>470395904.05404949</v>
          </cell>
          <cell r="AH146">
            <v>495409138.18035197</v>
          </cell>
          <cell r="AI146">
            <v>596410302.16263044</v>
          </cell>
          <cell r="AJ146">
            <v>704325366.71839321</v>
          </cell>
          <cell r="AK146">
            <v>831029813.14082909</v>
          </cell>
          <cell r="AL146">
            <v>835582169.020455</v>
          </cell>
          <cell r="AM146">
            <v>878250862.83413339</v>
          </cell>
          <cell r="AN146">
            <v>1001894000.2784605</v>
          </cell>
          <cell r="AO146">
            <v>946112456.16826808</v>
          </cell>
          <cell r="AP146">
            <v>998004330.90987015</v>
          </cell>
          <cell r="AQ146">
            <v>928460865.11773264</v>
          </cell>
          <cell r="AR146">
            <v>912773656.15018463</v>
          </cell>
          <cell r="AS146">
            <v>887291645.30246592</v>
          </cell>
          <cell r="AT146">
            <v>825706961.2386893</v>
          </cell>
          <cell r="AU146">
            <v>775777263.09078431</v>
          </cell>
          <cell r="AV146">
            <v>1157825409.2804792</v>
          </cell>
          <cell r="AW146">
            <v>1511236655.5204656</v>
          </cell>
          <cell r="AX146">
            <v>1682343439.3097601</v>
          </cell>
          <cell r="AY146">
            <v>1800092519.4493275</v>
          </cell>
          <cell r="AZ146">
            <v>1682025303.1603045</v>
          </cell>
          <cell r="BA146">
            <v>1766820422.4798028</v>
          </cell>
          <cell r="BB146">
            <v>1740835819.8007951</v>
          </cell>
          <cell r="BC146">
            <v>2234731973.5511899</v>
          </cell>
          <cell r="BD146">
            <v>2579421686.2491217</v>
          </cell>
          <cell r="BE146">
            <v>2477702252.8007793</v>
          </cell>
          <cell r="BF146">
            <v>2367113170.0037308</v>
          </cell>
          <cell r="BG146">
            <v>2441063169.4792218</v>
          </cell>
          <cell r="BH146">
            <v>2359754087.5816941</v>
          </cell>
          <cell r="BI146">
            <v>2114426468.6568105</v>
          </cell>
          <cell r="BJ146">
            <v>2306741598.7967725</v>
          </cell>
          <cell r="BK146">
            <v>2556247155.5694456</v>
          </cell>
          <cell r="BL146">
            <v>2436029587.6100879</v>
          </cell>
          <cell r="BM146">
            <v>2117736527.7988636</v>
          </cell>
        </row>
        <row r="147">
          <cell r="B147" t="str">
            <v>LTE</v>
          </cell>
          <cell r="C147" t="str">
            <v>GDP (current US$)</v>
          </cell>
          <cell r="D147" t="str">
            <v>NY.GDP.MKTP.CD</v>
          </cell>
          <cell r="E147">
            <v>187879636913.39792</v>
          </cell>
          <cell r="F147">
            <v>174494200572.47006</v>
          </cell>
          <cell r="G147">
            <v>177739054287.77036</v>
          </cell>
          <cell r="H147">
            <v>193962516262.90158</v>
          </cell>
          <cell r="I147">
            <v>213074603900.1496</v>
          </cell>
          <cell r="J147">
            <v>239635727703.07504</v>
          </cell>
          <cell r="K147">
            <v>266930865057.17972</v>
          </cell>
          <cell r="L147">
            <v>268220607339.32111</v>
          </cell>
          <cell r="M147">
            <v>272945950308.17389</v>
          </cell>
          <cell r="N147">
            <v>304305496423.19708</v>
          </cell>
          <cell r="O147">
            <v>346354817312.08649</v>
          </cell>
          <cell r="P147">
            <v>384985432823.90601</v>
          </cell>
          <cell r="Q147">
            <v>442281525192.43524</v>
          </cell>
          <cell r="R147">
            <v>570027356655.58801</v>
          </cell>
          <cell r="S147">
            <v>670590593319.99829</v>
          </cell>
          <cell r="T147">
            <v>737575791537.23279</v>
          </cell>
          <cell r="U147">
            <v>795110050384.08313</v>
          </cell>
          <cell r="V147">
            <v>922284640069.31604</v>
          </cell>
          <cell r="W147">
            <v>959681796280.20569</v>
          </cell>
          <cell r="X147">
            <v>1141426067178.4417</v>
          </cell>
          <cell r="Y147">
            <v>1305127873819.6045</v>
          </cell>
          <cell r="Z147">
            <v>1369362066137.7659</v>
          </cell>
          <cell r="AA147">
            <v>1392844983995.2622</v>
          </cell>
          <cell r="AB147">
            <v>1279910481204.3567</v>
          </cell>
          <cell r="AC147">
            <v>1336604317430.228</v>
          </cell>
          <cell r="AD147">
            <v>1446300965545.5237</v>
          </cell>
          <cell r="AE147">
            <v>1540156977218.7629</v>
          </cell>
          <cell r="AF147">
            <v>1625958434413.4644</v>
          </cell>
          <cell r="AG147">
            <v>1773983340014.2532</v>
          </cell>
          <cell r="AH147">
            <v>1891766247083.5417</v>
          </cell>
          <cell r="AI147">
            <v>2036712896681.0615</v>
          </cell>
          <cell r="AJ147">
            <v>2039346669796.4116</v>
          </cell>
          <cell r="AK147">
            <v>2075918077864.6897</v>
          </cell>
          <cell r="AL147">
            <v>2166490210483.8284</v>
          </cell>
          <cell r="AM147">
            <v>2456582443329.8701</v>
          </cell>
          <cell r="AN147">
            <v>3018344023471.2949</v>
          </cell>
          <cell r="AO147">
            <v>3329641134915.4863</v>
          </cell>
          <cell r="AP147">
            <v>3486552209715.3262</v>
          </cell>
          <cell r="AQ147">
            <v>3361132425309.6689</v>
          </cell>
          <cell r="AR147">
            <v>3106308288146.5161</v>
          </cell>
          <cell r="AS147">
            <v>3410160195631.021</v>
          </cell>
          <cell r="AT147">
            <v>3524971410363.0171</v>
          </cell>
          <cell r="AU147">
            <v>3736762127352.2217</v>
          </cell>
          <cell r="AV147">
            <v>4257884246629.23</v>
          </cell>
          <cell r="AW147">
            <v>5117207890045.2832</v>
          </cell>
          <cell r="AX147">
            <v>6172838531832.8809</v>
          </cell>
          <cell r="AY147">
            <v>7448570230979.501</v>
          </cell>
          <cell r="AZ147">
            <v>9382521778909.0703</v>
          </cell>
          <cell r="BA147">
            <v>11663323670463.293</v>
          </cell>
          <cell r="BB147">
            <v>11268891687538.109</v>
          </cell>
          <cell r="BC147">
            <v>13553728682871.016</v>
          </cell>
          <cell r="BD147">
            <v>16519537910748.428</v>
          </cell>
          <cell r="BE147">
            <v>17680702314004.121</v>
          </cell>
          <cell r="BF147">
            <v>19042110155027.324</v>
          </cell>
          <cell r="BG147">
            <v>19775313806693.086</v>
          </cell>
          <cell r="BH147">
            <v>18549854155934.09</v>
          </cell>
          <cell r="BI147">
            <v>18593432462844.871</v>
          </cell>
          <cell r="BJ147">
            <v>20629823637317.141</v>
          </cell>
          <cell r="BK147">
            <v>22621357448474.082</v>
          </cell>
          <cell r="BL147">
            <v>23047283010403.613</v>
          </cell>
          <cell r="BM147">
            <v>22525940505680.473</v>
          </cell>
        </row>
        <row r="148">
          <cell r="B148" t="str">
            <v>LTU</v>
          </cell>
          <cell r="C148" t="str">
            <v>GDP (current US$)</v>
          </cell>
          <cell r="D148" t="str">
            <v>NY.GDP.MKTP.CD</v>
          </cell>
          <cell r="AN148">
            <v>7867140395.3370495</v>
          </cell>
          <cell r="AO148">
            <v>8382519637.4622355</v>
          </cell>
          <cell r="AP148">
            <v>10118631851.532152</v>
          </cell>
          <cell r="AQ148">
            <v>11239547690.979713</v>
          </cell>
          <cell r="AR148">
            <v>10971583944.756149</v>
          </cell>
          <cell r="AS148">
            <v>11524776866.637894</v>
          </cell>
          <cell r="AT148">
            <v>12237388001.72637</v>
          </cell>
          <cell r="AU148">
            <v>14259781159.011929</v>
          </cell>
          <cell r="AV148">
            <v>18781721376.198536</v>
          </cell>
          <cell r="AW148">
            <v>22627507451.564827</v>
          </cell>
          <cell r="AX148">
            <v>26097677571.837296</v>
          </cell>
          <cell r="AY148">
            <v>30183575103.526161</v>
          </cell>
          <cell r="AZ148">
            <v>39697891351.943077</v>
          </cell>
          <cell r="BA148">
            <v>47797551587.882332</v>
          </cell>
          <cell r="BB148">
            <v>37388122046.149567</v>
          </cell>
          <cell r="BC148">
            <v>37128694028.242989</v>
          </cell>
          <cell r="BD148">
            <v>43535051482.386894</v>
          </cell>
          <cell r="BE148">
            <v>42927454291.477997</v>
          </cell>
          <cell r="BF148">
            <v>46523420074.437225</v>
          </cell>
          <cell r="BG148">
            <v>48533659592.172791</v>
          </cell>
          <cell r="BH148">
            <v>41435533340.38826</v>
          </cell>
          <cell r="BI148">
            <v>43047309305.73748</v>
          </cell>
          <cell r="BJ148">
            <v>47758736931.78051</v>
          </cell>
          <cell r="BK148">
            <v>53751411409.44371</v>
          </cell>
          <cell r="BL148">
            <v>54760617012.91658</v>
          </cell>
          <cell r="BM148">
            <v>56914826860.691788</v>
          </cell>
        </row>
        <row r="149">
          <cell r="B149" t="str">
            <v>LUX</v>
          </cell>
          <cell r="C149" t="str">
            <v>GDP (current US$)</v>
          </cell>
          <cell r="D149" t="str">
            <v>NY.GDP.MKTP.CD</v>
          </cell>
          <cell r="E149">
            <v>703925705.94295776</v>
          </cell>
          <cell r="F149">
            <v>704145671.35021305</v>
          </cell>
          <cell r="G149">
            <v>741509480.7962842</v>
          </cell>
          <cell r="H149">
            <v>791140595.77275527</v>
          </cell>
          <cell r="I149">
            <v>903158753.94362235</v>
          </cell>
          <cell r="J149">
            <v>921600736.30402601</v>
          </cell>
          <cell r="K149">
            <v>968440149.47095072</v>
          </cell>
          <cell r="L149">
            <v>974721762.53532672</v>
          </cell>
          <cell r="M149">
            <v>1066447130.8205178</v>
          </cell>
          <cell r="N149">
            <v>1234878980.5019953</v>
          </cell>
          <cell r="O149">
            <v>1457768455.0221863</v>
          </cell>
          <cell r="P149">
            <v>1518773421.3784564</v>
          </cell>
          <cell r="Q149">
            <v>1901697369.626982</v>
          </cell>
          <cell r="R149">
            <v>2609875802.1113644</v>
          </cell>
          <cell r="S149">
            <v>3183637116.8185582</v>
          </cell>
          <cell r="T149">
            <v>3123333333.3333335</v>
          </cell>
          <cell r="U149">
            <v>3423586206.8965521</v>
          </cell>
          <cell r="V149">
            <v>3789321328.0810356</v>
          </cell>
          <cell r="W149">
            <v>4718539771.9994879</v>
          </cell>
          <cell r="X149">
            <v>5516982663.7314253</v>
          </cell>
          <cell r="Y149">
            <v>6019805490.4124708</v>
          </cell>
          <cell r="Z149">
            <v>5053665797.4793568</v>
          </cell>
          <cell r="AA149">
            <v>4602316793.219142</v>
          </cell>
          <cell r="AB149">
            <v>4524217751.47929</v>
          </cell>
          <cell r="AC149">
            <v>4438435492.8790846</v>
          </cell>
          <cell r="AD149">
            <v>4577211767.1037436</v>
          </cell>
          <cell r="AE149">
            <v>6685595087.5925598</v>
          </cell>
          <cell r="AF149">
            <v>8320902215.0189085</v>
          </cell>
          <cell r="AG149">
            <v>9418167855.1837635</v>
          </cell>
          <cell r="AH149">
            <v>10037674037.674038</v>
          </cell>
          <cell r="AI149">
            <v>12778792853.693867</v>
          </cell>
          <cell r="AJ149">
            <v>13834219728.292971</v>
          </cell>
          <cell r="AK149">
            <v>15518702634.880802</v>
          </cell>
          <cell r="AL149">
            <v>15925521222.014925</v>
          </cell>
          <cell r="AM149">
            <v>17701798890.764408</v>
          </cell>
          <cell r="AN149">
            <v>20853093869.7318</v>
          </cell>
          <cell r="AO149">
            <v>20895314657.980457</v>
          </cell>
          <cell r="AP149">
            <v>19563836265.223274</v>
          </cell>
          <cell r="AQ149">
            <v>20150053345.187817</v>
          </cell>
          <cell r="AR149">
            <v>21899317598.841362</v>
          </cell>
          <cell r="AS149">
            <v>21230182989.303574</v>
          </cell>
          <cell r="AT149">
            <v>21387533703.232704</v>
          </cell>
          <cell r="AU149">
            <v>23649833332.165531</v>
          </cell>
          <cell r="AV149">
            <v>29667268248.130527</v>
          </cell>
          <cell r="AW149">
            <v>35064843792.899323</v>
          </cell>
          <cell r="AX149">
            <v>37672280120.479362</v>
          </cell>
          <cell r="AY149">
            <v>42910146296.064644</v>
          </cell>
          <cell r="AZ149">
            <v>51587401415.787224</v>
          </cell>
          <cell r="BA149">
            <v>58844277701.525764</v>
          </cell>
          <cell r="BB149">
            <v>54467289897.558167</v>
          </cell>
          <cell r="BC149">
            <v>56213985987.418114</v>
          </cell>
          <cell r="BD149">
            <v>61696281326.245689</v>
          </cell>
          <cell r="BE149">
            <v>59776383527.360168</v>
          </cell>
          <cell r="BF149">
            <v>65203276466.976784</v>
          </cell>
          <cell r="BG149">
            <v>68804811897.643372</v>
          </cell>
          <cell r="BH149">
            <v>60071584216.137466</v>
          </cell>
          <cell r="BI149">
            <v>62216885435.950508</v>
          </cell>
          <cell r="BJ149">
            <v>65712180342.984238</v>
          </cell>
          <cell r="BK149">
            <v>71000359760.459854</v>
          </cell>
          <cell r="BL149">
            <v>69825641851.010406</v>
          </cell>
          <cell r="BM149">
            <v>73992591285.301666</v>
          </cell>
        </row>
        <row r="150">
          <cell r="B150" t="str">
            <v>LVA</v>
          </cell>
          <cell r="C150" t="str">
            <v>GDP (current US$)</v>
          </cell>
          <cell r="D150" t="str">
            <v>NY.GDP.MKTP.CD</v>
          </cell>
          <cell r="AN150">
            <v>5789128636.6229315</v>
          </cell>
          <cell r="AO150">
            <v>5975248851.4548244</v>
          </cell>
          <cell r="AP150">
            <v>6527926445.6811037</v>
          </cell>
          <cell r="AQ150">
            <v>7166275467.6516142</v>
          </cell>
          <cell r="AR150">
            <v>7533788133.5575304</v>
          </cell>
          <cell r="AS150">
            <v>7958852838.9339514</v>
          </cell>
          <cell r="AT150">
            <v>8362398701.5894337</v>
          </cell>
          <cell r="AU150">
            <v>9557031605.2751236</v>
          </cell>
          <cell r="AV150">
            <v>11771975156.80728</v>
          </cell>
          <cell r="AW150">
            <v>14435700533.368023</v>
          </cell>
          <cell r="AX150">
            <v>17003459863.098942</v>
          </cell>
          <cell r="AY150">
            <v>21570076498.620518</v>
          </cell>
          <cell r="AZ150">
            <v>31054350977.97839</v>
          </cell>
          <cell r="BA150">
            <v>35854274228.913902</v>
          </cell>
          <cell r="BB150">
            <v>26410909090.909088</v>
          </cell>
          <cell r="BC150">
            <v>23956163076.55748</v>
          </cell>
          <cell r="BD150">
            <v>27474380566.265041</v>
          </cell>
          <cell r="BE150">
            <v>28169902669.378365</v>
          </cell>
          <cell r="BF150">
            <v>30204783461.848808</v>
          </cell>
          <cell r="BG150">
            <v>31386896487.040173</v>
          </cell>
          <cell r="BH150">
            <v>27263090547.061707</v>
          </cell>
          <cell r="BI150">
            <v>28083597512.484894</v>
          </cell>
          <cell r="BJ150">
            <v>30483806017.832092</v>
          </cell>
          <cell r="BK150">
            <v>34429023435.020538</v>
          </cell>
          <cell r="BL150">
            <v>34343961072.822861</v>
          </cell>
          <cell r="BM150">
            <v>34601740323.338028</v>
          </cell>
        </row>
        <row r="151">
          <cell r="B151" t="str">
            <v>MAC</v>
          </cell>
          <cell r="C151" t="str">
            <v>GDP (current US$)</v>
          </cell>
          <cell r="D151" t="str">
            <v>NY.GDP.MKTP.CD</v>
          </cell>
          <cell r="AA151">
            <v>1142497657.7623475</v>
          </cell>
          <cell r="AB151">
            <v>1133013285.7995324</v>
          </cell>
          <cell r="AC151">
            <v>1304361353.2702372</v>
          </cell>
          <cell r="AD151">
            <v>1362072216.7063768</v>
          </cell>
          <cell r="AE151">
            <v>1532105006.4529285</v>
          </cell>
          <cell r="AF151">
            <v>1957724747.8872266</v>
          </cell>
          <cell r="AG151">
            <v>2288761917.3962107</v>
          </cell>
          <cell r="AH151">
            <v>2705665379.7561588</v>
          </cell>
          <cell r="AI151">
            <v>3246481368.1600037</v>
          </cell>
          <cell r="AJ151">
            <v>3765249711.0909824</v>
          </cell>
          <cell r="AK151">
            <v>4914365394.5254459</v>
          </cell>
          <cell r="AL151">
            <v>5665606114.8031702</v>
          </cell>
          <cell r="AM151">
            <v>6311207515.6453838</v>
          </cell>
          <cell r="AN151">
            <v>7046147442.1392078</v>
          </cell>
          <cell r="AO151">
            <v>7176892950.3916445</v>
          </cell>
          <cell r="AP151">
            <v>7267571196.4557171</v>
          </cell>
          <cell r="AQ151">
            <v>6797792474.1919155</v>
          </cell>
          <cell r="AR151">
            <v>6547670439.2599955</v>
          </cell>
          <cell r="AS151">
            <v>6774193548.3870964</v>
          </cell>
          <cell r="AT151">
            <v>6860272608.4521065</v>
          </cell>
          <cell r="AU151">
            <v>7371692468.558486</v>
          </cell>
          <cell r="AV151">
            <v>8246479394.595767</v>
          </cell>
          <cell r="AW151">
            <v>10643253442.623232</v>
          </cell>
          <cell r="AX151">
            <v>12160056754.837261</v>
          </cell>
          <cell r="AY151">
            <v>14874098382.086336</v>
          </cell>
          <cell r="AZ151">
            <v>18439981803.634697</v>
          </cell>
          <cell r="BA151">
            <v>21027018551.148487</v>
          </cell>
          <cell r="BB151">
            <v>21587786004.588188</v>
          </cell>
          <cell r="BC151">
            <v>28241799668.008648</v>
          </cell>
          <cell r="BD151">
            <v>36845887225.429634</v>
          </cell>
          <cell r="BE151">
            <v>43189724079.766815</v>
          </cell>
          <cell r="BF151">
            <v>51536592939.033226</v>
          </cell>
          <cell r="BG151">
            <v>54902831793.50177</v>
          </cell>
          <cell r="BH151">
            <v>45048188247.645752</v>
          </cell>
          <cell r="BI151">
            <v>45070807279.628799</v>
          </cell>
          <cell r="BJ151">
            <v>50440935654.007515</v>
          </cell>
          <cell r="BK151">
            <v>55284309690.269791</v>
          </cell>
          <cell r="BL151">
            <v>55204960999.588196</v>
          </cell>
          <cell r="BM151">
            <v>25459685019.548019</v>
          </cell>
        </row>
        <row r="152">
          <cell r="B152" t="str">
            <v>MAF</v>
          </cell>
          <cell r="C152" t="str">
            <v>GDP (current US$)</v>
          </cell>
          <cell r="D152" t="str">
            <v>NY.GDP.MKTP.CD</v>
          </cell>
          <cell r="BD152">
            <v>775875857.97665524</v>
          </cell>
          <cell r="BG152">
            <v>772921756.31372273</v>
          </cell>
        </row>
        <row r="153">
          <cell r="B153" t="str">
            <v>MAR</v>
          </cell>
          <cell r="C153" t="str">
            <v>GDP (current US$)</v>
          </cell>
          <cell r="D153" t="str">
            <v>NY.GDP.MKTP.CD</v>
          </cell>
          <cell r="E153">
            <v>2037154740.2975113</v>
          </cell>
          <cell r="F153">
            <v>2025693537.9330244</v>
          </cell>
          <cell r="G153">
            <v>2379611122.7050366</v>
          </cell>
          <cell r="H153">
            <v>2657252576.1754794</v>
          </cell>
          <cell r="I153">
            <v>2798345296.3324394</v>
          </cell>
          <cell r="J153">
            <v>2948331088.1018105</v>
          </cell>
          <cell r="K153">
            <v>2876401294.7995944</v>
          </cell>
          <cell r="L153">
            <v>3046345311.9421921</v>
          </cell>
          <cell r="M153">
            <v>3271422329.9950047</v>
          </cell>
          <cell r="N153">
            <v>3651622666.0210023</v>
          </cell>
          <cell r="O153">
            <v>3956336240.9441252</v>
          </cell>
          <cell r="P153">
            <v>4356669160.6339693</v>
          </cell>
          <cell r="Q153">
            <v>5074117544.7748222</v>
          </cell>
          <cell r="R153">
            <v>6242146134.926836</v>
          </cell>
          <cell r="S153">
            <v>7675467036.6096077</v>
          </cell>
          <cell r="T153">
            <v>8984851898.7374687</v>
          </cell>
          <cell r="U153">
            <v>9584296202.0867043</v>
          </cell>
          <cell r="V153">
            <v>11049784283.215311</v>
          </cell>
          <cell r="W153">
            <v>13236946766.230112</v>
          </cell>
          <cell r="X153">
            <v>15911994141.240829</v>
          </cell>
          <cell r="Y153">
            <v>21728517078.535408</v>
          </cell>
          <cell r="Z153">
            <v>17788186055.571049</v>
          </cell>
          <cell r="AA153">
            <v>17692275268.387638</v>
          </cell>
          <cell r="AB153">
            <v>16251407368.09672</v>
          </cell>
          <cell r="AC153">
            <v>14824668235.783358</v>
          </cell>
          <cell r="AD153">
            <v>14991283215.740831</v>
          </cell>
          <cell r="AE153">
            <v>19462086253.306629</v>
          </cell>
          <cell r="AF153">
            <v>21765195948.188976</v>
          </cell>
          <cell r="AG153">
            <v>25705296183.503674</v>
          </cell>
          <cell r="AH153">
            <v>26314313191.182552</v>
          </cell>
          <cell r="AI153">
            <v>30179955995.515015</v>
          </cell>
          <cell r="AJ153">
            <v>32285573573.918488</v>
          </cell>
          <cell r="AK153">
            <v>33711069430.780041</v>
          </cell>
          <cell r="AL153">
            <v>31655473663.834824</v>
          </cell>
          <cell r="AM153">
            <v>35604137422.579597</v>
          </cell>
          <cell r="AN153">
            <v>39030285468.384079</v>
          </cell>
          <cell r="AO153">
            <v>43161572352.979271</v>
          </cell>
          <cell r="AP153">
            <v>39147844526.083763</v>
          </cell>
          <cell r="AQ153">
            <v>46497609536.241837</v>
          </cell>
          <cell r="AR153">
            <v>46266427862.75103</v>
          </cell>
          <cell r="AS153">
            <v>43017455401.424431</v>
          </cell>
          <cell r="AT153">
            <v>43831480206.453522</v>
          </cell>
          <cell r="AU153">
            <v>47077192183.732872</v>
          </cell>
          <cell r="AV153">
            <v>58029361338.629845</v>
          </cell>
          <cell r="AW153">
            <v>66114147932.39032</v>
          </cell>
          <cell r="AX153">
            <v>68852655479.560089</v>
          </cell>
          <cell r="AY153">
            <v>75883820424.084503</v>
          </cell>
          <cell r="AZ153">
            <v>86947909744.599335</v>
          </cell>
          <cell r="BA153">
            <v>101822906946.02664</v>
          </cell>
          <cell r="BB153">
            <v>101154952243.01497</v>
          </cell>
          <cell r="BC153">
            <v>100865325482.24379</v>
          </cell>
          <cell r="BD153">
            <v>110080631330.06136</v>
          </cell>
          <cell r="BE153">
            <v>106937397478.35275</v>
          </cell>
          <cell r="BF153">
            <v>115739288446.79884</v>
          </cell>
          <cell r="BG153">
            <v>119130845829.48183</v>
          </cell>
          <cell r="BH153">
            <v>110413820681.03416</v>
          </cell>
          <cell r="BI153">
            <v>111572946646.53508</v>
          </cell>
          <cell r="BJ153">
            <v>118540574727.55217</v>
          </cell>
          <cell r="BK153">
            <v>127341141871.20514</v>
          </cell>
          <cell r="BL153">
            <v>128920265075.5255</v>
          </cell>
          <cell r="BM153">
            <v>121347533649.79297</v>
          </cell>
        </row>
        <row r="154">
          <cell r="B154" t="str">
            <v>MCO</v>
          </cell>
          <cell r="C154" t="str">
            <v>GDP (current US$)</v>
          </cell>
          <cell r="D154" t="str">
            <v>NY.GDP.MKTP.CD</v>
          </cell>
          <cell r="O154">
            <v>293073868.02322143</v>
          </cell>
          <cell r="P154">
            <v>327651487.96275675</v>
          </cell>
          <cell r="Q154">
            <v>402460333.23763728</v>
          </cell>
          <cell r="R154">
            <v>523552815.11912727</v>
          </cell>
          <cell r="S154">
            <v>563939670.70441937</v>
          </cell>
          <cell r="T154">
            <v>711922994.22554493</v>
          </cell>
          <cell r="U154">
            <v>735339911.93506515</v>
          </cell>
          <cell r="V154">
            <v>811250927.38899815</v>
          </cell>
          <cell r="W154">
            <v>1000535735.3875107</v>
          </cell>
          <cell r="X154">
            <v>1209898293.4637191</v>
          </cell>
          <cell r="Y154">
            <v>1378130995.659126</v>
          </cell>
          <cell r="Z154">
            <v>1205166025.5159183</v>
          </cell>
          <cell r="AA154">
            <v>1143229071.7794309</v>
          </cell>
          <cell r="AB154">
            <v>1092551781.0148635</v>
          </cell>
          <cell r="AC154">
            <v>1037314956.2508339</v>
          </cell>
          <cell r="AD154">
            <v>1082851076.5215755</v>
          </cell>
          <cell r="AE154">
            <v>1515209588.2377975</v>
          </cell>
          <cell r="AF154">
            <v>1839095595.2565525</v>
          </cell>
          <cell r="AG154">
            <v>2000674667.0826108</v>
          </cell>
          <cell r="AH154">
            <v>2010116851.2028396</v>
          </cell>
          <cell r="AI154">
            <v>2481316053.8531599</v>
          </cell>
          <cell r="AJ154">
            <v>2480497538.5479441</v>
          </cell>
          <cell r="AK154">
            <v>2737067001.7593813</v>
          </cell>
          <cell r="AL154">
            <v>2574440022.979641</v>
          </cell>
          <cell r="AM154">
            <v>2720297793.2866182</v>
          </cell>
          <cell r="AN154">
            <v>3130270895.1358652</v>
          </cell>
          <cell r="AO154">
            <v>3137848801.0360646</v>
          </cell>
          <cell r="AP154">
            <v>2840182220.9911728</v>
          </cell>
          <cell r="AQ154">
            <v>2934578821.1093831</v>
          </cell>
          <cell r="AR154">
            <v>2907075359.5040989</v>
          </cell>
          <cell r="AS154">
            <v>2654476597.1543584</v>
          </cell>
          <cell r="AT154">
            <v>2673738412.57583</v>
          </cell>
          <cell r="AU154">
            <v>2919691961.3743191</v>
          </cell>
          <cell r="AV154">
            <v>3597052153.185679</v>
          </cell>
          <cell r="AW154">
            <v>4117728150.8400106</v>
          </cell>
          <cell r="AX154">
            <v>4204651893.540854</v>
          </cell>
          <cell r="AY154">
            <v>4586828062.2352877</v>
          </cell>
          <cell r="AZ154">
            <v>5875376401.9215879</v>
          </cell>
          <cell r="BA154">
            <v>6502945305.0781231</v>
          </cell>
          <cell r="BB154">
            <v>5473265701.6796837</v>
          </cell>
          <cell r="BC154">
            <v>5367561640.0000105</v>
          </cell>
          <cell r="BD154">
            <v>6088690667.3151875</v>
          </cell>
          <cell r="BE154">
            <v>5742748405.546876</v>
          </cell>
          <cell r="BF154">
            <v>6555590641.5686455</v>
          </cell>
          <cell r="BG154">
            <v>7069351223.5686026</v>
          </cell>
          <cell r="BH154">
            <v>6261646949.5312471</v>
          </cell>
          <cell r="BI154">
            <v>6472837332.9572144</v>
          </cell>
          <cell r="BJ154">
            <v>6431274937.6470699</v>
          </cell>
          <cell r="BK154">
            <v>7194256778.2745047</v>
          </cell>
          <cell r="BL154">
            <v>7383941919.2156744</v>
          </cell>
          <cell r="BM154">
            <v>6739642360.4669447</v>
          </cell>
        </row>
        <row r="155">
          <cell r="B155" t="str">
            <v>MDA</v>
          </cell>
          <cell r="C155" t="str">
            <v>GDP (current US$)</v>
          </cell>
          <cell r="D155" t="str">
            <v>NY.GDP.MKTP.CD</v>
          </cell>
          <cell r="AN155">
            <v>1752979926.4148901</v>
          </cell>
          <cell r="AO155">
            <v>1695122173.9130435</v>
          </cell>
          <cell r="AP155">
            <v>1930081168.8311689</v>
          </cell>
          <cell r="AQ155">
            <v>1698717504.6554935</v>
          </cell>
          <cell r="AR155">
            <v>1170782957.3744323</v>
          </cell>
          <cell r="AS155">
            <v>1288429391.7995076</v>
          </cell>
          <cell r="AT155">
            <v>1480673594.0560203</v>
          </cell>
          <cell r="AU155">
            <v>1661818168.4226036</v>
          </cell>
          <cell r="AV155">
            <v>1980907434.7682641</v>
          </cell>
          <cell r="AW155">
            <v>2598249555.8998399</v>
          </cell>
          <cell r="AX155">
            <v>2988342907.0309634</v>
          </cell>
          <cell r="AY155">
            <v>3408255364.0319762</v>
          </cell>
          <cell r="AZ155">
            <v>4401173161.6832705</v>
          </cell>
          <cell r="BA155">
            <v>6054824433.0582457</v>
          </cell>
          <cell r="BB155">
            <v>5439434059.3199615</v>
          </cell>
          <cell r="BC155">
            <v>6974982391.400938</v>
          </cell>
          <cell r="BD155">
            <v>8414351671.724103</v>
          </cell>
          <cell r="BE155">
            <v>8709138767.2078018</v>
          </cell>
          <cell r="BF155">
            <v>9496717700.8985519</v>
          </cell>
          <cell r="BG155">
            <v>9399833207.4934101</v>
          </cell>
          <cell r="BH155">
            <v>7798692878.4013605</v>
          </cell>
          <cell r="BI155">
            <v>7982450758.0321274</v>
          </cell>
          <cell r="BJ155">
            <v>9519053158.464035</v>
          </cell>
          <cell r="BK155">
            <v>11253727815.476191</v>
          </cell>
          <cell r="BL155">
            <v>11735774634.423899</v>
          </cell>
          <cell r="BM155">
            <v>11531967881.062355</v>
          </cell>
        </row>
        <row r="156">
          <cell r="B156" t="str">
            <v>MDG</v>
          </cell>
          <cell r="C156" t="str">
            <v>GDP (current US$)</v>
          </cell>
          <cell r="D156" t="str">
            <v>NY.GDP.MKTP.CD</v>
          </cell>
          <cell r="E156">
            <v>673081724.07596612</v>
          </cell>
          <cell r="F156">
            <v>699161943.85673332</v>
          </cell>
          <cell r="G156">
            <v>739286906.85116255</v>
          </cell>
          <cell r="H156">
            <v>759345862.97092938</v>
          </cell>
          <cell r="I156">
            <v>802482182.92376816</v>
          </cell>
          <cell r="J156">
            <v>833563472.16191125</v>
          </cell>
          <cell r="K156">
            <v>900264583.68772936</v>
          </cell>
          <cell r="L156">
            <v>956436931.14184177</v>
          </cell>
          <cell r="M156">
            <v>1031669636.3606161</v>
          </cell>
          <cell r="N156">
            <v>1056391054.5379362</v>
          </cell>
          <cell r="O156">
            <v>1111859569.7706633</v>
          </cell>
          <cell r="P156">
            <v>1199507629.9922199</v>
          </cell>
          <cell r="Q156">
            <v>1341590681.5859952</v>
          </cell>
          <cell r="R156">
            <v>1653062347.3637757</v>
          </cell>
          <cell r="S156">
            <v>1917508190.0468938</v>
          </cell>
          <cell r="T156">
            <v>2283049233.2858095</v>
          </cell>
          <cell r="U156">
            <v>2181844193.9238834</v>
          </cell>
          <cell r="V156">
            <v>2358930406.4289641</v>
          </cell>
          <cell r="W156">
            <v>2669755115.5037217</v>
          </cell>
          <cell r="X156">
            <v>3463565881.4221516</v>
          </cell>
          <cell r="Y156">
            <v>5201818348.9272699</v>
          </cell>
          <cell r="Z156">
            <v>4759333969.832757</v>
          </cell>
          <cell r="AA156">
            <v>4784977348.9318695</v>
          </cell>
          <cell r="AB156">
            <v>4686457013.0812988</v>
          </cell>
          <cell r="AC156">
            <v>3905938480.8611917</v>
          </cell>
          <cell r="AD156">
            <v>3802557894.8719015</v>
          </cell>
          <cell r="AE156">
            <v>4347989798.8070498</v>
          </cell>
          <cell r="AF156">
            <v>3212900560.8172941</v>
          </cell>
          <cell r="AG156">
            <v>3189456961.270412</v>
          </cell>
          <cell r="AH156">
            <v>3175638332.6447086</v>
          </cell>
          <cell r="AI156">
            <v>3931334870.6285014</v>
          </cell>
          <cell r="AJ156">
            <v>3254713056.0217071</v>
          </cell>
          <cell r="AK156">
            <v>3714966675.0120745</v>
          </cell>
          <cell r="AL156">
            <v>4063298919.2868047</v>
          </cell>
          <cell r="AM156">
            <v>3522227094.1422267</v>
          </cell>
          <cell r="AN156">
            <v>3838100902.2501173</v>
          </cell>
          <cell r="AO156">
            <v>4931861036.6836853</v>
          </cell>
          <cell r="AP156">
            <v>4262965421.145586</v>
          </cell>
          <cell r="AQ156">
            <v>4401967634.0854654</v>
          </cell>
          <cell r="AR156">
            <v>4277903780.2913055</v>
          </cell>
          <cell r="AS156">
            <v>4629247204.9853001</v>
          </cell>
          <cell r="AT156">
            <v>5438332600.53228</v>
          </cell>
          <cell r="AU156">
            <v>5351701664.7136173</v>
          </cell>
          <cell r="AV156">
            <v>6372498891.3811817</v>
          </cell>
          <cell r="AW156">
            <v>5064732625.3905439</v>
          </cell>
          <cell r="AX156">
            <v>5859269751.6382608</v>
          </cell>
          <cell r="AY156">
            <v>6395712491.7514629</v>
          </cell>
          <cell r="AZ156">
            <v>8524620890.8803883</v>
          </cell>
          <cell r="BA156">
            <v>10725137721.562231</v>
          </cell>
          <cell r="BB156">
            <v>9616879407.5947361</v>
          </cell>
          <cell r="BC156">
            <v>9982711338.1181374</v>
          </cell>
          <cell r="BD156">
            <v>11551819617.627125</v>
          </cell>
          <cell r="BE156">
            <v>11578975063.797459</v>
          </cell>
          <cell r="BF156">
            <v>12423555457.0352</v>
          </cell>
          <cell r="BG156">
            <v>12522957401.039539</v>
          </cell>
          <cell r="BH156">
            <v>11323020699.912802</v>
          </cell>
          <cell r="BI156">
            <v>11848613859.527927</v>
          </cell>
          <cell r="BJ156">
            <v>13176313593.550934</v>
          </cell>
          <cell r="BK156">
            <v>13760033282.607086</v>
          </cell>
          <cell r="BL156">
            <v>14104664677.962736</v>
          </cell>
          <cell r="BM156">
            <v>13051441203.447412</v>
          </cell>
        </row>
        <row r="157">
          <cell r="B157" t="str">
            <v>MDV</v>
          </cell>
          <cell r="C157" t="str">
            <v>GDP (current US$)</v>
          </cell>
          <cell r="D157" t="str">
            <v>NY.GDP.MKTP.CD</v>
          </cell>
          <cell r="Y157">
            <v>42463576.164564714</v>
          </cell>
          <cell r="Z157">
            <v>44781456.959573701</v>
          </cell>
          <cell r="AA157">
            <v>47911342.416418083</v>
          </cell>
          <cell r="AB157">
            <v>57829787.242245361</v>
          </cell>
          <cell r="AC157">
            <v>109503546.10576268</v>
          </cell>
          <cell r="AD157">
            <v>127190757.95998873</v>
          </cell>
          <cell r="AE157">
            <v>141882254.23017761</v>
          </cell>
          <cell r="AF157">
            <v>141223029.38306406</v>
          </cell>
          <cell r="AG157">
            <v>168514513.37507114</v>
          </cell>
          <cell r="AH157">
            <v>189514434.24399954</v>
          </cell>
          <cell r="AI157">
            <v>215043969.84924623</v>
          </cell>
          <cell r="AJ157">
            <v>244396761.92333952</v>
          </cell>
          <cell r="AK157">
            <v>284875818.02412587</v>
          </cell>
          <cell r="AL157">
            <v>322417837.16197103</v>
          </cell>
          <cell r="AM157">
            <v>356014932.13646072</v>
          </cell>
          <cell r="AN157">
            <v>398988954.97026342</v>
          </cell>
          <cell r="AO157">
            <v>450382327.95242143</v>
          </cell>
          <cell r="AP157">
            <v>508223602.3789295</v>
          </cell>
          <cell r="AQ157">
            <v>540096397.6210705</v>
          </cell>
          <cell r="AR157">
            <v>589239753.61087513</v>
          </cell>
          <cell r="AS157">
            <v>624337145.28462195</v>
          </cell>
          <cell r="AT157">
            <v>870031653.10915458</v>
          </cell>
          <cell r="AU157">
            <v>897031250</v>
          </cell>
          <cell r="AV157">
            <v>1052121054.6875</v>
          </cell>
          <cell r="AW157">
            <v>1226829562.5</v>
          </cell>
          <cell r="AX157">
            <v>1163362437.5</v>
          </cell>
          <cell r="AY157">
            <v>1575200390.625</v>
          </cell>
          <cell r="AZ157">
            <v>1868383460.9375</v>
          </cell>
          <cell r="BA157">
            <v>2271646187.5</v>
          </cell>
          <cell r="BB157">
            <v>2345294875</v>
          </cell>
          <cell r="BC157">
            <v>2588176054.6875</v>
          </cell>
          <cell r="BD157">
            <v>2774350163.3477278</v>
          </cell>
          <cell r="BE157">
            <v>2886163937.7796335</v>
          </cell>
          <cell r="BF157">
            <v>3295009231.0073929</v>
          </cell>
          <cell r="BG157">
            <v>3697353155.0488272</v>
          </cell>
          <cell r="BH157">
            <v>4109416450.2251368</v>
          </cell>
          <cell r="BI157">
            <v>4379134272.942997</v>
          </cell>
          <cell r="BJ157">
            <v>4754185598.8417006</v>
          </cell>
          <cell r="BK157">
            <v>5300949822.9980507</v>
          </cell>
          <cell r="BL157">
            <v>5609385433.5919952</v>
          </cell>
          <cell r="BM157">
            <v>3746329358.287879</v>
          </cell>
        </row>
        <row r="158">
          <cell r="B158" t="str">
            <v>MEA</v>
          </cell>
          <cell r="C158" t="str">
            <v>GDP (current US$)</v>
          </cell>
          <cell r="D158" t="str">
            <v>NY.GDP.MKTP.CD</v>
          </cell>
          <cell r="M158">
            <v>44717172685.555733</v>
          </cell>
          <cell r="N158">
            <v>49452094477.50106</v>
          </cell>
          <cell r="O158">
            <v>55907595961.076492</v>
          </cell>
          <cell r="P158">
            <v>66167288440.852013</v>
          </cell>
          <cell r="Q158">
            <v>80153352071.265915</v>
          </cell>
          <cell r="R158">
            <v>108540898880.85559</v>
          </cell>
          <cell r="S158">
            <v>202706813870.31842</v>
          </cell>
          <cell r="T158">
            <v>224132579904.44028</v>
          </cell>
          <cell r="U158">
            <v>283341231553.81091</v>
          </cell>
          <cell r="V158">
            <v>329435259580.60358</v>
          </cell>
          <cell r="W158">
            <v>351690865692.24536</v>
          </cell>
          <cell r="X158">
            <v>461667110191.48828</v>
          </cell>
          <cell r="Y158">
            <v>597897341101.21692</v>
          </cell>
          <cell r="Z158">
            <v>619069917329.91809</v>
          </cell>
          <cell r="AA158">
            <v>618158392045.23218</v>
          </cell>
          <cell r="AB158">
            <v>625718271828.56641</v>
          </cell>
          <cell r="AC158">
            <v>638070519986.11182</v>
          </cell>
          <cell r="AD158">
            <v>654706689124.5105</v>
          </cell>
          <cell r="AE158">
            <v>672465558770.203</v>
          </cell>
          <cell r="AF158">
            <v>619200038894.05505</v>
          </cell>
          <cell r="AG158">
            <v>586915526240.98022</v>
          </cell>
          <cell r="AH158">
            <v>609483584498.44055</v>
          </cell>
          <cell r="AI158">
            <v>805603843643.1886</v>
          </cell>
          <cell r="AJ158">
            <v>563853412811.68567</v>
          </cell>
          <cell r="AK158">
            <v>616122411879.78113</v>
          </cell>
          <cell r="AL158">
            <v>625486004394.75891</v>
          </cell>
          <cell r="AM158">
            <v>659806409519.31165</v>
          </cell>
          <cell r="AN158">
            <v>743609670481.60718</v>
          </cell>
          <cell r="AO158">
            <v>840153956522.40027</v>
          </cell>
          <cell r="AP158">
            <v>883633046666.93054</v>
          </cell>
          <cell r="AQ158">
            <v>868792917633.37769</v>
          </cell>
          <cell r="AR158">
            <v>942196788206.79077</v>
          </cell>
          <cell r="AS158">
            <v>1054434624566.125</v>
          </cell>
          <cell r="AT158">
            <v>1049626453935.2023</v>
          </cell>
          <cell r="AU158">
            <v>1044708616047.0729</v>
          </cell>
          <cell r="AV158">
            <v>1158767180290.354</v>
          </cell>
          <cell r="AW158">
            <v>1367527495933.2327</v>
          </cell>
          <cell r="AX158">
            <v>1643484575866.9116</v>
          </cell>
          <cell r="AY158">
            <v>1924931009374.3704</v>
          </cell>
          <cell r="AZ158">
            <v>2272332400470.5024</v>
          </cell>
          <cell r="BA158">
            <v>2830408013082.1299</v>
          </cell>
          <cell r="BB158">
            <v>2556999251658.5571</v>
          </cell>
          <cell r="BC158">
            <v>2984420804908.8511</v>
          </cell>
          <cell r="BD158">
            <v>3368261589778.9795</v>
          </cell>
          <cell r="BE158">
            <v>3642052757122.0718</v>
          </cell>
          <cell r="BF158">
            <v>3581785122621.9404</v>
          </cell>
          <cell r="BG158">
            <v>3602485542648.4619</v>
          </cell>
          <cell r="BH158">
            <v>3179422230864.3242</v>
          </cell>
          <cell r="BI158">
            <v>3213372950118.3716</v>
          </cell>
          <cell r="BJ158">
            <v>3352271233734.4604</v>
          </cell>
          <cell r="BK158">
            <v>3516514202416.8823</v>
          </cell>
          <cell r="BL158">
            <v>3522808006382.4653</v>
          </cell>
          <cell r="BM158">
            <v>3157878645367.8989</v>
          </cell>
        </row>
        <row r="159">
          <cell r="B159" t="str">
            <v>MEX</v>
          </cell>
          <cell r="C159" t="str">
            <v>GDP (current US$)</v>
          </cell>
          <cell r="D159" t="str">
            <v>NY.GDP.MKTP.CD</v>
          </cell>
          <cell r="E159">
            <v>13039999986.959999</v>
          </cell>
          <cell r="F159">
            <v>14159999985.84</v>
          </cell>
          <cell r="G159">
            <v>15199999984.799999</v>
          </cell>
          <cell r="H159">
            <v>16959999983.040001</v>
          </cell>
          <cell r="I159">
            <v>20079999979.919998</v>
          </cell>
          <cell r="J159">
            <v>21839999978.16</v>
          </cell>
          <cell r="K159">
            <v>24319999975.68</v>
          </cell>
          <cell r="L159">
            <v>26559999973.439999</v>
          </cell>
          <cell r="M159">
            <v>29359999970.639999</v>
          </cell>
          <cell r="N159">
            <v>32479999967.52</v>
          </cell>
          <cell r="O159">
            <v>35519999964.480003</v>
          </cell>
          <cell r="P159">
            <v>39199999964.066772</v>
          </cell>
          <cell r="Q159">
            <v>45199916695.035172</v>
          </cell>
          <cell r="R159">
            <v>55280212668.412407</v>
          </cell>
          <cell r="S159">
            <v>72000179025.504089</v>
          </cell>
          <cell r="T159">
            <v>88000000000</v>
          </cell>
          <cell r="U159">
            <v>88876787990.912827</v>
          </cell>
          <cell r="V159">
            <v>81912502624.467422</v>
          </cell>
          <cell r="W159">
            <v>102647292867.00072</v>
          </cell>
          <cell r="X159">
            <v>134529639571.99583</v>
          </cell>
          <cell r="Y159">
            <v>205576980831.51395</v>
          </cell>
          <cell r="Z159">
            <v>263802132208.63596</v>
          </cell>
          <cell r="AA159">
            <v>184603593511.16104</v>
          </cell>
          <cell r="AB159">
            <v>156167542258.05963</v>
          </cell>
          <cell r="AC159">
            <v>184231211497.05383</v>
          </cell>
          <cell r="AD159">
            <v>195241386179.14777</v>
          </cell>
          <cell r="AE159">
            <v>134556126316.61986</v>
          </cell>
          <cell r="AF159">
            <v>147542611736.83456</v>
          </cell>
          <cell r="AG159">
            <v>181611150496.78741</v>
          </cell>
          <cell r="AH159">
            <v>221403143240.479</v>
          </cell>
          <cell r="AI159">
            <v>261253660211.68408</v>
          </cell>
          <cell r="AJ159">
            <v>313139656145.74463</v>
          </cell>
          <cell r="AK159">
            <v>363157793810.13629</v>
          </cell>
          <cell r="AL159">
            <v>500733386969.94122</v>
          </cell>
          <cell r="AM159">
            <v>527810631731.24823</v>
          </cell>
          <cell r="AN159">
            <v>360072506961.29321</v>
          </cell>
          <cell r="AO159">
            <v>410972976953.22852</v>
          </cell>
          <cell r="AP159">
            <v>500416010941.52148</v>
          </cell>
          <cell r="AQ159">
            <v>526499723362.14423</v>
          </cell>
          <cell r="AR159">
            <v>600233031001.06445</v>
          </cell>
          <cell r="AS159">
            <v>707909864021.7793</v>
          </cell>
          <cell r="AT159">
            <v>756702925694.03967</v>
          </cell>
          <cell r="AU159">
            <v>772109710670.87268</v>
          </cell>
          <cell r="AV159">
            <v>729335024013.22485</v>
          </cell>
          <cell r="AW159">
            <v>782242912348.37134</v>
          </cell>
          <cell r="AX159">
            <v>877476892365.26367</v>
          </cell>
          <cell r="AY159">
            <v>975383402912.58496</v>
          </cell>
          <cell r="AZ159">
            <v>1052697085016.3497</v>
          </cell>
          <cell r="BA159">
            <v>1109987401386.375</v>
          </cell>
          <cell r="BB159">
            <v>900047015737.99487</v>
          </cell>
          <cell r="BC159">
            <v>1057800597973.6508</v>
          </cell>
          <cell r="BD159">
            <v>1180487226406.7791</v>
          </cell>
          <cell r="BE159">
            <v>1201093787127.416</v>
          </cell>
          <cell r="BF159">
            <v>1274443916251.6384</v>
          </cell>
          <cell r="BG159">
            <v>1315356131262.4836</v>
          </cell>
          <cell r="BH159">
            <v>1171870072962.7612</v>
          </cell>
          <cell r="BI159">
            <v>1078493059306.9497</v>
          </cell>
          <cell r="BJ159">
            <v>1158912015259.0129</v>
          </cell>
          <cell r="BK159">
            <v>1222405556421.1277</v>
          </cell>
          <cell r="BL159">
            <v>1269009571610.7576</v>
          </cell>
          <cell r="BM159">
            <v>1090514966785.9084</v>
          </cell>
        </row>
        <row r="160">
          <cell r="B160" t="str">
            <v>MHL</v>
          </cell>
          <cell r="C160" t="str">
            <v>GDP (current US$)</v>
          </cell>
          <cell r="D160" t="str">
            <v>NY.GDP.MKTP.CD</v>
          </cell>
          <cell r="Z160">
            <v>31020000</v>
          </cell>
          <cell r="AA160">
            <v>34918000</v>
          </cell>
          <cell r="AB160">
            <v>41749000</v>
          </cell>
          <cell r="AC160">
            <v>45144000</v>
          </cell>
          <cell r="AD160">
            <v>43879000</v>
          </cell>
          <cell r="AE160">
            <v>55989000</v>
          </cell>
          <cell r="AF160">
            <v>62983000</v>
          </cell>
          <cell r="AG160">
            <v>70688000</v>
          </cell>
          <cell r="AH160">
            <v>72798000</v>
          </cell>
          <cell r="AI160">
            <v>78476000</v>
          </cell>
          <cell r="AJ160">
            <v>82507000</v>
          </cell>
          <cell r="AK160">
            <v>91063000</v>
          </cell>
          <cell r="AL160">
            <v>99461000</v>
          </cell>
          <cell r="AM160">
            <v>108071000</v>
          </cell>
          <cell r="AN160">
            <v>120230000</v>
          </cell>
          <cell r="AO160">
            <v>110858000</v>
          </cell>
          <cell r="AP160">
            <v>110705600</v>
          </cell>
          <cell r="AQ160">
            <v>112279400</v>
          </cell>
          <cell r="AR160">
            <v>114326300</v>
          </cell>
          <cell r="AS160">
            <v>115347500</v>
          </cell>
          <cell r="AT160">
            <v>122824000</v>
          </cell>
          <cell r="AU160">
            <v>131738200</v>
          </cell>
          <cell r="AV160">
            <v>131398500.00000001</v>
          </cell>
          <cell r="AW160">
            <v>132934599.99999999</v>
          </cell>
          <cell r="AX160">
            <v>137666300</v>
          </cell>
          <cell r="AY160">
            <v>142745200</v>
          </cell>
          <cell r="AZ160">
            <v>149870000</v>
          </cell>
          <cell r="BA160">
            <v>145969100</v>
          </cell>
          <cell r="BB160">
            <v>150624900</v>
          </cell>
          <cell r="BC160">
            <v>160318500</v>
          </cell>
          <cell r="BD160">
            <v>171567100</v>
          </cell>
          <cell r="BE160">
            <v>179855800</v>
          </cell>
          <cell r="BF160">
            <v>185468000</v>
          </cell>
          <cell r="BG160">
            <v>185172900</v>
          </cell>
          <cell r="BH160">
            <v>182997300</v>
          </cell>
          <cell r="BI160">
            <v>200716000</v>
          </cell>
          <cell r="BJ160">
            <v>212701200</v>
          </cell>
          <cell r="BK160">
            <v>219330300</v>
          </cell>
          <cell r="BL160">
            <v>232092300</v>
          </cell>
          <cell r="BM160">
            <v>241722400</v>
          </cell>
        </row>
        <row r="161">
          <cell r="B161" t="str">
            <v>MIC</v>
          </cell>
          <cell r="C161" t="str">
            <v>GDP (current US$)</v>
          </cell>
          <cell r="D161" t="str">
            <v>NY.GDP.MKTP.CD</v>
          </cell>
          <cell r="E161">
            <v>316376209430.52173</v>
          </cell>
          <cell r="F161">
            <v>313303886062.98694</v>
          </cell>
          <cell r="G161">
            <v>320085524430.74664</v>
          </cell>
          <cell r="H161">
            <v>343208421071.06671</v>
          </cell>
          <cell r="I161">
            <v>390696261920.41351</v>
          </cell>
          <cell r="J161">
            <v>431007931276.02515</v>
          </cell>
          <cell r="K161">
            <v>446005445246.89294</v>
          </cell>
          <cell r="L161">
            <v>458085789271.23859</v>
          </cell>
          <cell r="M161">
            <v>483839604813.95355</v>
          </cell>
          <cell r="N161">
            <v>540752617375.37164</v>
          </cell>
          <cell r="O161">
            <v>594602858158.58301</v>
          </cell>
          <cell r="P161">
            <v>639144217439.1731</v>
          </cell>
          <cell r="Q161">
            <v>715919582279.35327</v>
          </cell>
          <cell r="R161">
            <v>914833294251.13708</v>
          </cell>
          <cell r="S161">
            <v>1161069117578.9856</v>
          </cell>
          <cell r="T161">
            <v>1282604977967.1306</v>
          </cell>
          <cell r="U161">
            <v>1378256736089.2024</v>
          </cell>
          <cell r="V161">
            <v>1545854791100.5291</v>
          </cell>
          <cell r="W161">
            <v>1715904581161.5447</v>
          </cell>
          <cell r="X161">
            <v>1992288749673.4282</v>
          </cell>
          <cell r="Y161">
            <v>2353291017161.0156</v>
          </cell>
          <cell r="Z161">
            <v>2649954735161.4478</v>
          </cell>
          <cell r="AA161">
            <v>2609362555753.7305</v>
          </cell>
          <cell r="AB161">
            <v>2520772212451.6147</v>
          </cell>
          <cell r="AC161">
            <v>2599512223206.915</v>
          </cell>
          <cell r="AD161">
            <v>2696619172045.7217</v>
          </cell>
          <cell r="AE161">
            <v>2798928238733.8164</v>
          </cell>
          <cell r="AF161">
            <v>2899470710783.8281</v>
          </cell>
          <cell r="AG161">
            <v>3084956766681.6348</v>
          </cell>
          <cell r="AH161">
            <v>3216442505896.8291</v>
          </cell>
          <cell r="AI161">
            <v>3697346151633.1719</v>
          </cell>
          <cell r="AJ161">
            <v>3553641933496.7852</v>
          </cell>
          <cell r="AK161">
            <v>3712563843245.603</v>
          </cell>
          <cell r="AL161">
            <v>3965957275221.9214</v>
          </cell>
          <cell r="AM161">
            <v>4298394115140.0938</v>
          </cell>
          <cell r="AN161">
            <v>4825314214232.5391</v>
          </cell>
          <cell r="AO161">
            <v>5288859968669.8213</v>
          </cell>
          <cell r="AP161">
            <v>5596554559132.6523</v>
          </cell>
          <cell r="AQ161">
            <v>5414212859323.6494</v>
          </cell>
          <cell r="AR161">
            <v>5297090345599.2158</v>
          </cell>
          <cell r="AS161">
            <v>5776761011405.6182</v>
          </cell>
          <cell r="AT161">
            <v>5831560036561.6279</v>
          </cell>
          <cell r="AU161">
            <v>5970192042162.1934</v>
          </cell>
          <cell r="AV161">
            <v>6732418464358.1729</v>
          </cell>
          <cell r="AW161">
            <v>7992081898929.6777</v>
          </cell>
          <cell r="AX161">
            <v>9511305976468.1367</v>
          </cell>
          <cell r="AY161">
            <v>11293666564845.09</v>
          </cell>
          <cell r="AZ161">
            <v>13954903602793.229</v>
          </cell>
          <cell r="BA161">
            <v>16694431978835.201</v>
          </cell>
          <cell r="BB161">
            <v>16305847816594.652</v>
          </cell>
          <cell r="BC161">
            <v>19889521929418.418</v>
          </cell>
          <cell r="BD161">
            <v>23725461596065.699</v>
          </cell>
          <cell r="BE161">
            <v>25291481601347.25</v>
          </cell>
          <cell r="BF161">
            <v>26794468512319.234</v>
          </cell>
          <cell r="BG161">
            <v>27693615809487.258</v>
          </cell>
          <cell r="BH161">
            <v>26235141991923.586</v>
          </cell>
          <cell r="BI161">
            <v>26474239454559.891</v>
          </cell>
          <cell r="BJ161">
            <v>29101978685393.684</v>
          </cell>
          <cell r="BK161">
            <v>30947243041064.91</v>
          </cell>
          <cell r="BL161">
            <v>31667498458543.109</v>
          </cell>
          <cell r="BM161">
            <v>30547251417511.988</v>
          </cell>
        </row>
        <row r="162">
          <cell r="B162" t="str">
            <v>MKD</v>
          </cell>
          <cell r="C162" t="str">
            <v>GDP (current US$)</v>
          </cell>
          <cell r="D162" t="str">
            <v>NY.GDP.MKTP.CD</v>
          </cell>
          <cell r="AI162">
            <v>4699646643.1095409</v>
          </cell>
          <cell r="AJ162">
            <v>4938775510.2040815</v>
          </cell>
          <cell r="AK162">
            <v>2436849341.9760361</v>
          </cell>
          <cell r="AL162">
            <v>2682456896.5517244</v>
          </cell>
          <cell r="AM162">
            <v>3559608612.5577931</v>
          </cell>
          <cell r="AN162">
            <v>4707041273.8233109</v>
          </cell>
          <cell r="AO162">
            <v>4642021256.3068905</v>
          </cell>
          <cell r="AP162">
            <v>3912986090.9736319</v>
          </cell>
          <cell r="AQ162">
            <v>3765745000.1591353</v>
          </cell>
          <cell r="AR162">
            <v>3863619262.1461482</v>
          </cell>
          <cell r="AS162">
            <v>3772859053.2877159</v>
          </cell>
          <cell r="AT162">
            <v>3709636012.49122</v>
          </cell>
          <cell r="AU162">
            <v>4018365767.8249388</v>
          </cell>
          <cell r="AV162">
            <v>4946296568.7331085</v>
          </cell>
          <cell r="AW162">
            <v>5682784433.3595581</v>
          </cell>
          <cell r="AX162">
            <v>6258602830.3485203</v>
          </cell>
          <cell r="AY162">
            <v>6861227018.4207764</v>
          </cell>
          <cell r="AZ162">
            <v>8336475035.8541536</v>
          </cell>
          <cell r="BA162">
            <v>9909552355.6155777</v>
          </cell>
          <cell r="BB162">
            <v>9401736825.4268799</v>
          </cell>
          <cell r="BC162">
            <v>9407170388.8336182</v>
          </cell>
          <cell r="BD162">
            <v>10494626767.64451</v>
          </cell>
          <cell r="BE162">
            <v>9745261300.5778828</v>
          </cell>
          <cell r="BF162">
            <v>10817702423.788588</v>
          </cell>
          <cell r="BG162">
            <v>11362265293.558107</v>
          </cell>
          <cell r="BH162">
            <v>10064519962.565548</v>
          </cell>
          <cell r="BI162">
            <v>10672467073.287252</v>
          </cell>
          <cell r="BJ162">
            <v>11307067000.718773</v>
          </cell>
          <cell r="BK162">
            <v>12683068033.104256</v>
          </cell>
          <cell r="BL162">
            <v>12606338448.546968</v>
          </cell>
          <cell r="BM162">
            <v>12363580534.68112</v>
          </cell>
        </row>
        <row r="163">
          <cell r="B163" t="str">
            <v>MLI</v>
          </cell>
          <cell r="C163" t="str">
            <v>GDP (current US$)</v>
          </cell>
          <cell r="D163" t="str">
            <v>NY.GDP.MKTP.CD</v>
          </cell>
          <cell r="L163">
            <v>275494477.81984043</v>
          </cell>
          <cell r="M163">
            <v>343771973.33135653</v>
          </cell>
          <cell r="N163">
            <v>339913866.63352269</v>
          </cell>
          <cell r="O163">
            <v>359772315.06725597</v>
          </cell>
          <cell r="P163">
            <v>395218629.37233633</v>
          </cell>
          <cell r="Q163">
            <v>486617279.36226213</v>
          </cell>
          <cell r="R163">
            <v>563683703.17009425</v>
          </cell>
          <cell r="S163">
            <v>538747340.76666057</v>
          </cell>
          <cell r="T163">
            <v>830710613.85733545</v>
          </cell>
          <cell r="U163">
            <v>939228016.1980778</v>
          </cell>
          <cell r="V163">
            <v>1049838549.9612966</v>
          </cell>
          <cell r="W163">
            <v>1222702571.5793076</v>
          </cell>
          <cell r="X163">
            <v>1595422953.6764848</v>
          </cell>
          <cell r="Y163">
            <v>1759691182.945966</v>
          </cell>
          <cell r="Z163">
            <v>1538972426.913105</v>
          </cell>
          <cell r="AA163">
            <v>1333754226.2212319</v>
          </cell>
          <cell r="AB163">
            <v>1297765325.8188527</v>
          </cell>
          <cell r="AC163">
            <v>1232932104.670928</v>
          </cell>
          <cell r="AD163">
            <v>1392196048.8906353</v>
          </cell>
          <cell r="AE163">
            <v>1852163455.5359812</v>
          </cell>
          <cell r="AF163">
            <v>2090629984.183615</v>
          </cell>
          <cell r="AG163">
            <v>2169040604.5092936</v>
          </cell>
          <cell r="AH163">
            <v>2181821905.9419599</v>
          </cell>
          <cell r="AI163">
            <v>2681912149.1476669</v>
          </cell>
          <cell r="AJ163">
            <v>2724131460.1082654</v>
          </cell>
          <cell r="AK163">
            <v>2830673380.7974257</v>
          </cell>
          <cell r="AL163">
            <v>2818281080.1098428</v>
          </cell>
          <cell r="AM163">
            <v>2081846499.0375116</v>
          </cell>
          <cell r="AN163">
            <v>2706425157.9290705</v>
          </cell>
          <cell r="AO163">
            <v>2780422047.7308464</v>
          </cell>
          <cell r="AP163">
            <v>2697105821.8330727</v>
          </cell>
          <cell r="AQ163">
            <v>2920358712.648243</v>
          </cell>
          <cell r="AR163">
            <v>3440724707.8083382</v>
          </cell>
          <cell r="AS163">
            <v>2961484953.7336402</v>
          </cell>
          <cell r="AT163">
            <v>3468337941.0883007</v>
          </cell>
          <cell r="AU163">
            <v>3908121309.8568058</v>
          </cell>
          <cell r="AV163">
            <v>4714071978.2863512</v>
          </cell>
          <cell r="AW163">
            <v>5454249122.7138948</v>
          </cell>
          <cell r="AX163">
            <v>6247515892.296937</v>
          </cell>
          <cell r="AY163">
            <v>6905934219.2946749</v>
          </cell>
          <cell r="AZ163">
            <v>8156468818.0086803</v>
          </cell>
          <cell r="BA163">
            <v>9838403090.9585896</v>
          </cell>
          <cell r="BB163">
            <v>10231962382.784224</v>
          </cell>
          <cell r="BC163">
            <v>10689168011.444891</v>
          </cell>
          <cell r="BD163">
            <v>12995112698.01017</v>
          </cell>
          <cell r="BE163">
            <v>12442035328.035028</v>
          </cell>
          <cell r="BF163">
            <v>13242690790.055712</v>
          </cell>
          <cell r="BG163">
            <v>14364937127.700232</v>
          </cell>
          <cell r="BH163">
            <v>13104764378.711418</v>
          </cell>
          <cell r="BI163">
            <v>14026048334.213051</v>
          </cell>
          <cell r="BJ163">
            <v>15365713059.105669</v>
          </cell>
          <cell r="BK163">
            <v>17070867577.666571</v>
          </cell>
          <cell r="BL163">
            <v>17280250805.224545</v>
          </cell>
          <cell r="BM163">
            <v>17465392779.036621</v>
          </cell>
        </row>
        <row r="164">
          <cell r="B164" t="str">
            <v>MLT</v>
          </cell>
          <cell r="C164" t="str">
            <v>GDP (current US$)</v>
          </cell>
          <cell r="D164" t="str">
            <v>NY.GDP.MKTP.CD</v>
          </cell>
          <cell r="O164">
            <v>250721821.55367813</v>
          </cell>
          <cell r="P164">
            <v>264579879.78487819</v>
          </cell>
          <cell r="Q164">
            <v>295118249.32493252</v>
          </cell>
          <cell r="R164">
            <v>345602025.37539285</v>
          </cell>
          <cell r="S164">
            <v>376094108.47533131</v>
          </cell>
          <cell r="T164">
            <v>474620439.5849604</v>
          </cell>
          <cell r="U164">
            <v>527936988.79127544</v>
          </cell>
          <cell r="V164">
            <v>625573345.53217447</v>
          </cell>
          <cell r="W164">
            <v>793675169.87857854</v>
          </cell>
          <cell r="X164">
            <v>1001300838.3233533</v>
          </cell>
          <cell r="Y164">
            <v>1250242107.8796918</v>
          </cell>
          <cell r="Z164">
            <v>1243469360.5683837</v>
          </cell>
          <cell r="AA164">
            <v>1234518125</v>
          </cell>
          <cell r="AB164">
            <v>1165771369.0062542</v>
          </cell>
          <cell r="AC164">
            <v>1101828568.7680416</v>
          </cell>
          <cell r="AD164">
            <v>1117835285.5051246</v>
          </cell>
          <cell r="AE164">
            <v>1435079200.3495741</v>
          </cell>
          <cell r="AF164">
            <v>1751247763.4194832</v>
          </cell>
          <cell r="AG164">
            <v>2019474244.1935902</v>
          </cell>
          <cell r="AH164">
            <v>2118574772.1113575</v>
          </cell>
          <cell r="AI164">
            <v>2547163582.3314872</v>
          </cell>
          <cell r="AJ164">
            <v>2750041434.262948</v>
          </cell>
          <cell r="AK164">
            <v>3021910216.718266</v>
          </cell>
          <cell r="AL164">
            <v>2709178326.7827063</v>
          </cell>
          <cell r="AM164">
            <v>2998570146.5409522</v>
          </cell>
          <cell r="AN164">
            <v>3461332684.8249025</v>
          </cell>
          <cell r="AO164">
            <v>3585755121.4864221</v>
          </cell>
          <cell r="AP164">
            <v>3722389055.7223892</v>
          </cell>
          <cell r="AQ164">
            <v>3958227428.4451318</v>
          </cell>
          <cell r="AR164">
            <v>4155187257.8562202</v>
          </cell>
          <cell r="AS164">
            <v>4323339212.2281017</v>
          </cell>
          <cell r="AT164">
            <v>4355146427.549366</v>
          </cell>
          <cell r="AU164">
            <v>4693495693.4956932</v>
          </cell>
          <cell r="AV164">
            <v>5489359280.755662</v>
          </cell>
          <cell r="AW164">
            <v>6116591928.2511215</v>
          </cell>
          <cell r="AX164">
            <v>6407287650.7897024</v>
          </cell>
          <cell r="AY164">
            <v>6778321415.1298456</v>
          </cell>
          <cell r="AZ164">
            <v>7925403777.7169447</v>
          </cell>
          <cell r="BA164">
            <v>9090376446.4625759</v>
          </cell>
          <cell r="BB164">
            <v>8696304529.0358429</v>
          </cell>
          <cell r="BC164">
            <v>9035819656.6668987</v>
          </cell>
          <cell r="BD164">
            <v>9638733344.3580627</v>
          </cell>
          <cell r="BE164">
            <v>9461826174.0234394</v>
          </cell>
          <cell r="BF164">
            <v>10550968138.94129</v>
          </cell>
          <cell r="BG164">
            <v>11625843213.607616</v>
          </cell>
          <cell r="BH164">
            <v>11091467513.710932</v>
          </cell>
          <cell r="BI164">
            <v>11667976402.762997</v>
          </cell>
          <cell r="BJ164">
            <v>13489296992.000145</v>
          </cell>
          <cell r="BK164">
            <v>15298004130.497538</v>
          </cell>
          <cell r="BL164">
            <v>15881258056.200928</v>
          </cell>
          <cell r="BM164">
            <v>15046136935.481449</v>
          </cell>
        </row>
        <row r="165">
          <cell r="B165" t="str">
            <v>MMR</v>
          </cell>
          <cell r="C165" t="str">
            <v>GDP (current US$)</v>
          </cell>
          <cell r="D165" t="str">
            <v>NY.GDP.MKTP.CD</v>
          </cell>
          <cell r="F165">
            <v>584351384.46408796</v>
          </cell>
          <cell r="G165">
            <v>612517344.7562151</v>
          </cell>
          <cell r="H165">
            <v>659976659.59952879</v>
          </cell>
          <cell r="I165">
            <v>475197381.86825573</v>
          </cell>
          <cell r="J165">
            <v>402619413.64898401</v>
          </cell>
          <cell r="K165">
            <v>317816209.97375327</v>
          </cell>
          <cell r="L165">
            <v>328182434.54496074</v>
          </cell>
          <cell r="M165">
            <v>531186357.40598059</v>
          </cell>
          <cell r="N165">
            <v>551379225.91292584</v>
          </cell>
          <cell r="O165">
            <v>578992638.82910037</v>
          </cell>
          <cell r="P165">
            <v>559378375.67567563</v>
          </cell>
          <cell r="Q165">
            <v>634525053.10396421</v>
          </cell>
          <cell r="R165">
            <v>667038769.09196424</v>
          </cell>
          <cell r="S165">
            <v>1000557949.5922867</v>
          </cell>
          <cell r="T165">
            <v>1128484859.0250328</v>
          </cell>
          <cell r="U165">
            <v>1155595925.0851307</v>
          </cell>
          <cell r="V165">
            <v>1000350726.8741781</v>
          </cell>
          <cell r="W165">
            <v>916914661.34942114</v>
          </cell>
          <cell r="X165">
            <v>919525191.63639283</v>
          </cell>
          <cell r="Y165">
            <v>1010596805.4761786</v>
          </cell>
          <cell r="Z165">
            <v>1064867669.3890885</v>
          </cell>
          <cell r="AA165">
            <v>1302701536.673929</v>
          </cell>
          <cell r="AB165">
            <v>1427209835.801332</v>
          </cell>
          <cell r="AC165">
            <v>1354699245.0724132</v>
          </cell>
          <cell r="AD165">
            <v>1310837294.2583733</v>
          </cell>
          <cell r="AE165">
            <v>1590096758.9715197</v>
          </cell>
          <cell r="AF165">
            <v>1448003803.8624618</v>
          </cell>
          <cell r="AG165">
            <v>1392547742.8253479</v>
          </cell>
          <cell r="AH165">
            <v>1674823310.8625226</v>
          </cell>
          <cell r="AI165">
            <v>2036373522.6893921</v>
          </cell>
          <cell r="AJ165">
            <v>2137184858.0441639</v>
          </cell>
          <cell r="AK165">
            <v>2216072577.1134367</v>
          </cell>
          <cell r="AL165">
            <v>2809748387.0967741</v>
          </cell>
          <cell r="AM165">
            <v>3821535779.8165135</v>
          </cell>
          <cell r="AN165">
            <v>4879257847.7712164</v>
          </cell>
          <cell r="AO165">
            <v>5759624742.2680416</v>
          </cell>
          <cell r="AP165">
            <v>5633070602.5401573</v>
          </cell>
          <cell r="AQ165">
            <v>4613071494.6345892</v>
          </cell>
          <cell r="AR165">
            <v>5643818689.4789991</v>
          </cell>
          <cell r="AS165">
            <v>6849321645.9562302</v>
          </cell>
          <cell r="AT165">
            <v>6220270632.3359213</v>
          </cell>
          <cell r="AU165">
            <v>6110632857.6658421</v>
          </cell>
          <cell r="AV165">
            <v>7754647428.0732346</v>
          </cell>
          <cell r="AW165">
            <v>9390855297.7355328</v>
          </cell>
          <cell r="AX165">
            <v>10588433068.85494</v>
          </cell>
          <cell r="AY165">
            <v>11863016315.293356</v>
          </cell>
          <cell r="AZ165">
            <v>15591182544.709234</v>
          </cell>
          <cell r="BA165">
            <v>23013015832.102268</v>
          </cell>
          <cell r="BB165">
            <v>29455165594.685921</v>
          </cell>
          <cell r="BC165">
            <v>37796052938.72776</v>
          </cell>
          <cell r="BD165">
            <v>54118601974.794716</v>
          </cell>
          <cell r="BE165">
            <v>58318677644.949196</v>
          </cell>
          <cell r="BF165">
            <v>60572257122.296211</v>
          </cell>
          <cell r="BG165">
            <v>63264892768.37262</v>
          </cell>
          <cell r="BH165">
            <v>63045306513.931717</v>
          </cell>
          <cell r="BI165">
            <v>60291738934.776794</v>
          </cell>
          <cell r="BJ165">
            <v>61449391917.127579</v>
          </cell>
          <cell r="BK165">
            <v>67144726167.929352</v>
          </cell>
          <cell r="BL165">
            <v>68697761477.180862</v>
          </cell>
          <cell r="BM165">
            <v>78930259068.527451</v>
          </cell>
        </row>
        <row r="166">
          <cell r="B166" t="str">
            <v>MNA</v>
          </cell>
          <cell r="C166" t="str">
            <v>GDP (current US$)</v>
          </cell>
          <cell r="D166" t="str">
            <v>NY.GDP.MKTP.CD</v>
          </cell>
          <cell r="J166">
            <v>23810290583.673389</v>
          </cell>
          <cell r="K166">
            <v>24818305646.725929</v>
          </cell>
          <cell r="L166">
            <v>26868148665.623924</v>
          </cell>
          <cell r="M166">
            <v>29559642720.3405</v>
          </cell>
          <cell r="N166">
            <v>32795724265.066917</v>
          </cell>
          <cell r="O166">
            <v>37041045402.711853</v>
          </cell>
          <cell r="P166">
            <v>42465877969.778076</v>
          </cell>
          <cell r="Q166">
            <v>50671066925.676521</v>
          </cell>
          <cell r="R166">
            <v>67263875069.57431</v>
          </cell>
          <cell r="S166">
            <v>102537786306.18037</v>
          </cell>
          <cell r="T166">
            <v>119312125730.54871</v>
          </cell>
          <cell r="U166">
            <v>147273622929.50479</v>
          </cell>
          <cell r="V166">
            <v>170439957379.8121</v>
          </cell>
          <cell r="W166">
            <v>183193116894.237</v>
          </cell>
          <cell r="X166">
            <v>228497957185.14722</v>
          </cell>
          <cell r="Y166">
            <v>273628581283.87283</v>
          </cell>
          <cell r="Z166">
            <v>267035342020.83383</v>
          </cell>
          <cell r="AA166">
            <v>306280754022.57397</v>
          </cell>
          <cell r="AB166">
            <v>344207728574.36591</v>
          </cell>
          <cell r="AC166">
            <v>364418541881.34894</v>
          </cell>
          <cell r="AD166">
            <v>397323233713.94586</v>
          </cell>
          <cell r="AE166">
            <v>446510193616.13751</v>
          </cell>
          <cell r="AF166">
            <v>390485215638.73425</v>
          </cell>
          <cell r="AG166">
            <v>358479455706.05579</v>
          </cell>
          <cell r="AH166">
            <v>360489945430.16852</v>
          </cell>
          <cell r="AI166">
            <v>507141220137.50421</v>
          </cell>
          <cell r="AJ166">
            <v>262766643338.0011</v>
          </cell>
          <cell r="AK166">
            <v>289376729240.24323</v>
          </cell>
          <cell r="AL166">
            <v>297118261901.42053</v>
          </cell>
          <cell r="AM166">
            <v>318546529596.62329</v>
          </cell>
          <cell r="AN166">
            <v>371191412877.51685</v>
          </cell>
          <cell r="AO166">
            <v>427895550438.95215</v>
          </cell>
          <cell r="AP166">
            <v>452412290027.7514</v>
          </cell>
          <cell r="AQ166">
            <v>465947519773.79669</v>
          </cell>
          <cell r="AR166">
            <v>506226639650.33466</v>
          </cell>
          <cell r="AS166">
            <v>536175306891.65125</v>
          </cell>
          <cell r="AT166">
            <v>542328469799.70654</v>
          </cell>
          <cell r="AU166">
            <v>528297275874.73566</v>
          </cell>
          <cell r="AV166">
            <v>577707880430.59509</v>
          </cell>
          <cell r="AW166">
            <v>685783572798.75037</v>
          </cell>
          <cell r="AX166">
            <v>808536284369.61462</v>
          </cell>
          <cell r="AY166">
            <v>942305915002.96912</v>
          </cell>
          <cell r="AZ166">
            <v>1148311867090.24</v>
          </cell>
          <cell r="BA166">
            <v>1416250571755.3069</v>
          </cell>
          <cell r="BB166">
            <v>1378596088772.168</v>
          </cell>
          <cell r="BC166">
            <v>1587780320761.4658</v>
          </cell>
          <cell r="BD166">
            <v>1636401102296.0994</v>
          </cell>
          <cell r="BE166">
            <v>1764808551707.2979</v>
          </cell>
          <cell r="BF166">
            <v>1624047544310.3496</v>
          </cell>
          <cell r="BG166">
            <v>1600856731724.6091</v>
          </cell>
          <cell r="BH166">
            <v>1439069681066.1052</v>
          </cell>
          <cell r="BI166">
            <v>1475844914342.2415</v>
          </cell>
          <cell r="BJ166">
            <v>1476907778479.7346</v>
          </cell>
          <cell r="BK166">
            <v>1400046333583.24</v>
          </cell>
          <cell r="BL166">
            <v>1408624610717.2292</v>
          </cell>
          <cell r="BM166">
            <v>1284929306042.4946</v>
          </cell>
        </row>
        <row r="167">
          <cell r="B167" t="str">
            <v>MNE</v>
          </cell>
          <cell r="C167" t="str">
            <v>GDP (current US$)</v>
          </cell>
          <cell r="D167" t="str">
            <v>NY.GDP.MKTP.CD</v>
          </cell>
          <cell r="AS167">
            <v>984292969.87764931</v>
          </cell>
          <cell r="AT167">
            <v>1159869245.9251299</v>
          </cell>
          <cell r="AU167">
            <v>1284685050.5241289</v>
          </cell>
          <cell r="AV167">
            <v>1707710053.1493838</v>
          </cell>
          <cell r="AW167">
            <v>2073234417.6806555</v>
          </cell>
          <cell r="AX167">
            <v>2257174480.7859716</v>
          </cell>
          <cell r="AY167">
            <v>2721903148.9148159</v>
          </cell>
          <cell r="AZ167">
            <v>3680711743.7722421</v>
          </cell>
          <cell r="BA167">
            <v>4545674527.6109571</v>
          </cell>
          <cell r="BB167">
            <v>4159330369.5470963</v>
          </cell>
          <cell r="BC167">
            <v>4142983897.8333411</v>
          </cell>
          <cell r="BD167">
            <v>4544429062.5778303</v>
          </cell>
          <cell r="BE167">
            <v>4087525609.4308605</v>
          </cell>
          <cell r="BF167">
            <v>4465771672.6200123</v>
          </cell>
          <cell r="BG167">
            <v>4593852089.0956697</v>
          </cell>
          <cell r="BH167">
            <v>4054728172.943748</v>
          </cell>
          <cell r="BI167">
            <v>4376929571.6311388</v>
          </cell>
          <cell r="BJ167">
            <v>4856602178.6341257</v>
          </cell>
          <cell r="BK167">
            <v>5506944403.3019571</v>
          </cell>
          <cell r="BL167">
            <v>5542053845.2927351</v>
          </cell>
          <cell r="BM167">
            <v>4769995511.5524244</v>
          </cell>
        </row>
        <row r="168">
          <cell r="B168" t="str">
            <v>MNG</v>
          </cell>
          <cell r="C168" t="str">
            <v>GDP (current US$)</v>
          </cell>
          <cell r="D168" t="str">
            <v>NY.GDP.MKTP.CD</v>
          </cell>
          <cell r="Z168">
            <v>2310099100</v>
          </cell>
          <cell r="AA168">
            <v>2552401933.3333335</v>
          </cell>
          <cell r="AB168">
            <v>2725736633.3333335</v>
          </cell>
          <cell r="AC168">
            <v>2098734599.9999998</v>
          </cell>
          <cell r="AD168">
            <v>2186505475</v>
          </cell>
          <cell r="AE168">
            <v>2896178866.6666665</v>
          </cell>
          <cell r="AF168">
            <v>3020611600</v>
          </cell>
          <cell r="AG168">
            <v>3204461566.6666665</v>
          </cell>
          <cell r="AH168">
            <v>3576966800</v>
          </cell>
          <cell r="AI168">
            <v>2560785660</v>
          </cell>
          <cell r="AJ168">
            <v>2379018326.3157897</v>
          </cell>
          <cell r="AK168">
            <v>1317611863.8497653</v>
          </cell>
          <cell r="AL168">
            <v>768401634.15457308</v>
          </cell>
          <cell r="AM168">
            <v>925817092.217484</v>
          </cell>
          <cell r="AN168">
            <v>1452165005.2384031</v>
          </cell>
          <cell r="AO168">
            <v>1345719472.3588309</v>
          </cell>
          <cell r="AP168">
            <v>1180934202.8380105</v>
          </cell>
          <cell r="AQ168">
            <v>1124440204.4016123</v>
          </cell>
          <cell r="AR168">
            <v>1057408588.6826869</v>
          </cell>
          <cell r="AS168">
            <v>1136896123.6129804</v>
          </cell>
          <cell r="AT168">
            <v>1267997934.3125041</v>
          </cell>
          <cell r="AU168">
            <v>1396555719.9740865</v>
          </cell>
          <cell r="AV168">
            <v>1595297355.7834878</v>
          </cell>
          <cell r="AW168">
            <v>1992066808.0959773</v>
          </cell>
          <cell r="AX168">
            <v>2523471601.8021135</v>
          </cell>
          <cell r="AY168">
            <v>3414055662.5806341</v>
          </cell>
          <cell r="AZ168">
            <v>4234999702.6944594</v>
          </cell>
          <cell r="BA168">
            <v>5623216609.6506901</v>
          </cell>
          <cell r="BB168">
            <v>4583850367.88972</v>
          </cell>
          <cell r="BC168">
            <v>7189482000.6668634</v>
          </cell>
          <cell r="BD168">
            <v>10409797375.115181</v>
          </cell>
          <cell r="BE168">
            <v>12292770631.19669</v>
          </cell>
          <cell r="BF168">
            <v>12582122604.192129</v>
          </cell>
          <cell r="BG168">
            <v>12226514666.0404</v>
          </cell>
          <cell r="BH168">
            <v>11619892592.659931</v>
          </cell>
          <cell r="BI168">
            <v>11181350649.224726</v>
          </cell>
          <cell r="BJ168">
            <v>11480847740.08391</v>
          </cell>
          <cell r="BK168">
            <v>13178094719.861187</v>
          </cell>
          <cell r="BL168">
            <v>14206359016.401356</v>
          </cell>
          <cell r="BM168">
            <v>13312981427.402287</v>
          </cell>
        </row>
        <row r="169">
          <cell r="B169" t="str">
            <v>MNP</v>
          </cell>
          <cell r="C169" t="str">
            <v>GDP (current US$)</v>
          </cell>
          <cell r="D169" t="str">
            <v>NY.GDP.MKTP.CD</v>
          </cell>
          <cell r="AU169">
            <v>1284000000</v>
          </cell>
          <cell r="AV169">
            <v>1239000000</v>
          </cell>
          <cell r="AW169">
            <v>1210000000</v>
          </cell>
          <cell r="AX169">
            <v>1061000000</v>
          </cell>
          <cell r="AY169">
            <v>990000000</v>
          </cell>
          <cell r="AZ169">
            <v>938000000</v>
          </cell>
          <cell r="BA169">
            <v>939000000</v>
          </cell>
          <cell r="BB169">
            <v>795000000</v>
          </cell>
          <cell r="BC169">
            <v>799000000</v>
          </cell>
          <cell r="BD169">
            <v>729000000</v>
          </cell>
          <cell r="BE169">
            <v>746000000</v>
          </cell>
          <cell r="BF169">
            <v>772000000</v>
          </cell>
          <cell r="BG169">
            <v>832000000</v>
          </cell>
          <cell r="BH169">
            <v>910000000</v>
          </cell>
          <cell r="BI169">
            <v>1230000000</v>
          </cell>
          <cell r="BJ169">
            <v>1560000000</v>
          </cell>
          <cell r="BK169">
            <v>1301000000</v>
          </cell>
          <cell r="BL169">
            <v>1181000000</v>
          </cell>
          <cell r="BM169">
            <v>858000000</v>
          </cell>
        </row>
        <row r="170">
          <cell r="B170" t="str">
            <v>MOZ</v>
          </cell>
          <cell r="C170" t="str">
            <v>GDP (current US$)</v>
          </cell>
          <cell r="D170" t="str">
            <v>NY.GDP.MKTP.CD</v>
          </cell>
          <cell r="AJ170">
            <v>3633488385.0627499</v>
          </cell>
          <cell r="AK170">
            <v>2640001311.3168931</v>
          </cell>
          <cell r="AL170">
            <v>2729524757.9953361</v>
          </cell>
          <cell r="AM170">
            <v>2796555381.4591894</v>
          </cell>
          <cell r="AN170">
            <v>2899912130.1665878</v>
          </cell>
          <cell r="AO170">
            <v>3856799844.1609039</v>
          </cell>
          <cell r="AP170">
            <v>4648838896.0678139</v>
          </cell>
          <cell r="AQ170">
            <v>5263884908.2424097</v>
          </cell>
          <cell r="AR170">
            <v>5976402585.9134541</v>
          </cell>
          <cell r="AS170">
            <v>5656473652.4114742</v>
          </cell>
          <cell r="AT170">
            <v>5398557896.1574841</v>
          </cell>
          <cell r="AU170">
            <v>5677013628.8505678</v>
          </cell>
          <cell r="AV170">
            <v>6303399757.8237648</v>
          </cell>
          <cell r="AW170">
            <v>7631106170.9462128</v>
          </cell>
          <cell r="AX170">
            <v>8542083074.1471577</v>
          </cell>
          <cell r="AY170">
            <v>9176896597.1680202</v>
          </cell>
          <cell r="AZ170">
            <v>10450826527.206644</v>
          </cell>
          <cell r="BA170">
            <v>12556173242.773643</v>
          </cell>
          <cell r="BB170">
            <v>11914471512.768396</v>
          </cell>
          <cell r="BC170">
            <v>11104649065.164936</v>
          </cell>
          <cell r="BD170">
            <v>14381552466.604368</v>
          </cell>
          <cell r="BE170">
            <v>16350813486.990786</v>
          </cell>
          <cell r="BF170">
            <v>16974314296.218243</v>
          </cell>
          <cell r="BG170">
            <v>17716091057.267498</v>
          </cell>
          <cell r="BH170">
            <v>15950979333.158171</v>
          </cell>
          <cell r="BI170">
            <v>11936993086.957928</v>
          </cell>
          <cell r="BJ170">
            <v>13219079497.705519</v>
          </cell>
          <cell r="BK170">
            <v>14845400592.671202</v>
          </cell>
          <cell r="BL170">
            <v>15390031039.995747</v>
          </cell>
          <cell r="BM170">
            <v>14156864916.471071</v>
          </cell>
        </row>
        <row r="171">
          <cell r="B171" t="str">
            <v>MRT</v>
          </cell>
          <cell r="C171" t="str">
            <v>GDP (current US$)</v>
          </cell>
          <cell r="D171" t="str">
            <v>NY.GDP.MKTP.CD</v>
          </cell>
          <cell r="F171">
            <v>159213426.50188747</v>
          </cell>
          <cell r="G171">
            <v>164271553.69978344</v>
          </cell>
          <cell r="H171">
            <v>168186293.24976212</v>
          </cell>
          <cell r="I171">
            <v>224495738.50574243</v>
          </cell>
          <cell r="J171">
            <v>255340469.01459602</v>
          </cell>
          <cell r="K171">
            <v>266533598.89891919</v>
          </cell>
          <cell r="L171">
            <v>282615303.57151914</v>
          </cell>
          <cell r="M171">
            <v>311395929.92048967</v>
          </cell>
          <cell r="N171">
            <v>295062290.316742</v>
          </cell>
          <cell r="O171">
            <v>309405315.75485253</v>
          </cell>
          <cell r="P171">
            <v>335568937.061988</v>
          </cell>
          <cell r="Q171">
            <v>391669449.25113916</v>
          </cell>
          <cell r="R171">
            <v>493237913.17774934</v>
          </cell>
          <cell r="S171">
            <v>613010507.41793454</v>
          </cell>
          <cell r="T171">
            <v>703377837.46854138</v>
          </cell>
          <cell r="U171">
            <v>775045516.86721659</v>
          </cell>
          <cell r="V171">
            <v>799029958.72149289</v>
          </cell>
          <cell r="W171">
            <v>804629876.76144052</v>
          </cell>
          <cell r="X171">
            <v>951900945.20891201</v>
          </cell>
          <cell r="Y171">
            <v>1047925029.5288467</v>
          </cell>
          <cell r="Z171">
            <v>1105494605.3731351</v>
          </cell>
          <cell r="AA171">
            <v>1108776724.1762304</v>
          </cell>
          <cell r="AB171">
            <v>1165171334.2627506</v>
          </cell>
          <cell r="AC171">
            <v>1074373174.1633754</v>
          </cell>
          <cell r="AD171">
            <v>1009723326.3205649</v>
          </cell>
          <cell r="AE171">
            <v>1186628778.5169456</v>
          </cell>
          <cell r="AF171">
            <v>1344664663.9926012</v>
          </cell>
          <cell r="AG171">
            <v>1414951227.3980496</v>
          </cell>
          <cell r="AH171">
            <v>1450647019.1809852</v>
          </cell>
          <cell r="AI171">
            <v>1506914407.8204668</v>
          </cell>
          <cell r="AJ171">
            <v>2133692609.9557643</v>
          </cell>
          <cell r="AK171">
            <v>2164298425.4841185</v>
          </cell>
          <cell r="AL171">
            <v>1847353160.3744352</v>
          </cell>
          <cell r="AM171">
            <v>1944876755.0070808</v>
          </cell>
          <cell r="AN171">
            <v>2091726047.7003946</v>
          </cell>
          <cell r="AO171">
            <v>2132087061.0812137</v>
          </cell>
          <cell r="AP171">
            <v>2071996518.570555</v>
          </cell>
          <cell r="AQ171">
            <v>2032347629.0063748</v>
          </cell>
          <cell r="AR171">
            <v>1985922807.1291888</v>
          </cell>
          <cell r="AS171">
            <v>1779520861.6432073</v>
          </cell>
          <cell r="AT171">
            <v>1746063580.3817358</v>
          </cell>
          <cell r="AU171">
            <v>1777057503.0589974</v>
          </cell>
          <cell r="AV171">
            <v>2051147606.7368741</v>
          </cell>
          <cell r="AW171">
            <v>2362501023.2424912</v>
          </cell>
          <cell r="AX171">
            <v>2936019525.6024098</v>
          </cell>
          <cell r="AY171">
            <v>3919577285.9270291</v>
          </cell>
          <cell r="AZ171">
            <v>4346212411.0549603</v>
          </cell>
          <cell r="BA171">
            <v>5206437120.9470978</v>
          </cell>
          <cell r="BB171">
            <v>4714595487.8525276</v>
          </cell>
          <cell r="BC171">
            <v>5628878865.9902735</v>
          </cell>
          <cell r="BD171">
            <v>6764627665.6923914</v>
          </cell>
          <cell r="BE171">
            <v>6728208836.2214279</v>
          </cell>
          <cell r="BF171">
            <v>7223071177.1585598</v>
          </cell>
          <cell r="BG171">
            <v>6592537781.8151789</v>
          </cell>
          <cell r="BH171">
            <v>6166863960.0006094</v>
          </cell>
          <cell r="BI171">
            <v>6398741855.7627554</v>
          </cell>
          <cell r="BJ171">
            <v>6800138755.3459158</v>
          </cell>
          <cell r="BK171">
            <v>7473550557.0737848</v>
          </cell>
          <cell r="BL171">
            <v>8066118984.3058052</v>
          </cell>
          <cell r="BM171">
            <v>8405498735.7429285</v>
          </cell>
        </row>
        <row r="172">
          <cell r="B172" t="str">
            <v>MUS</v>
          </cell>
          <cell r="C172" t="str">
            <v>GDP (current US$)</v>
          </cell>
          <cell r="D172" t="str">
            <v>NY.GDP.MKTP.CD</v>
          </cell>
          <cell r="U172">
            <v>704030891.25671625</v>
          </cell>
          <cell r="V172">
            <v>823633426.24245167</v>
          </cell>
          <cell r="W172">
            <v>1015369264.0707041</v>
          </cell>
          <cell r="X172">
            <v>1211139631.3281152</v>
          </cell>
          <cell r="Y172">
            <v>1131789419.0375543</v>
          </cell>
          <cell r="Z172">
            <v>1142388228.182945</v>
          </cell>
          <cell r="AA172">
            <v>1078403870.338547</v>
          </cell>
          <cell r="AB172">
            <v>1090276947.3130443</v>
          </cell>
          <cell r="AC172">
            <v>1040554576.0141284</v>
          </cell>
          <cell r="AD172">
            <v>1076122255.8232312</v>
          </cell>
          <cell r="AE172">
            <v>1462904781.8545387</v>
          </cell>
          <cell r="AF172">
            <v>1880850480.074229</v>
          </cell>
          <cell r="AG172">
            <v>2134513096.5248954</v>
          </cell>
          <cell r="AH172">
            <v>2181935024.1424413</v>
          </cell>
          <cell r="AI172">
            <v>2653485952.1331887</v>
          </cell>
          <cell r="AJ172">
            <v>2856889159.5861588</v>
          </cell>
          <cell r="AK172">
            <v>3224265821.3682446</v>
          </cell>
          <cell r="AL172">
            <v>3263363787.1659861</v>
          </cell>
          <cell r="AM172">
            <v>3558143644.0607119</v>
          </cell>
          <cell r="AN172">
            <v>4040342060.1833353</v>
          </cell>
          <cell r="AO172">
            <v>4421952122.977025</v>
          </cell>
          <cell r="AP172">
            <v>4187375887.4117498</v>
          </cell>
          <cell r="AQ172">
            <v>4169672974.848547</v>
          </cell>
          <cell r="AR172">
            <v>4343708895.5850525</v>
          </cell>
          <cell r="AS172">
            <v>4663321022.2267294</v>
          </cell>
          <cell r="AT172">
            <v>4613637222.1400595</v>
          </cell>
          <cell r="AU172">
            <v>4841310239.6368732</v>
          </cell>
          <cell r="AV172">
            <v>5816559038.5454531</v>
          </cell>
          <cell r="AW172">
            <v>6578840498.6693144</v>
          </cell>
          <cell r="AX172">
            <v>6488743119.74298</v>
          </cell>
          <cell r="AY172">
            <v>7028810754.7816362</v>
          </cell>
          <cell r="AZ172">
            <v>8150150144.156353</v>
          </cell>
          <cell r="BA172">
            <v>9990356849.2949066</v>
          </cell>
          <cell r="BB172">
            <v>9128843109.1558762</v>
          </cell>
          <cell r="BC172">
            <v>10003670690.349657</v>
          </cell>
          <cell r="BD172">
            <v>11518413429.968351</v>
          </cell>
          <cell r="BE172">
            <v>11668696526.22522</v>
          </cell>
          <cell r="BF172">
            <v>12292974007.936144</v>
          </cell>
          <cell r="BG172">
            <v>13074130094.372316</v>
          </cell>
          <cell r="BH172">
            <v>12007291045.648907</v>
          </cell>
          <cell r="BI172">
            <v>12594155346.298018</v>
          </cell>
          <cell r="BJ172">
            <v>13713505998.039053</v>
          </cell>
          <cell r="BK172">
            <v>14735695930.972702</v>
          </cell>
          <cell r="BL172">
            <v>14436347115.289282</v>
          </cell>
          <cell r="BM172">
            <v>11401040995.994616</v>
          </cell>
        </row>
        <row r="173">
          <cell r="B173" t="str">
            <v>MWI</v>
          </cell>
          <cell r="C173" t="str">
            <v>GDP (current US$)</v>
          </cell>
          <cell r="D173" t="str">
            <v>NY.GDP.MKTP.CD</v>
          </cell>
          <cell r="Y173">
            <v>1801157516.2304277</v>
          </cell>
          <cell r="Z173">
            <v>1801193743.8828769</v>
          </cell>
          <cell r="AA173">
            <v>1717379360.4298704</v>
          </cell>
          <cell r="AB173">
            <v>1780147545.9585299</v>
          </cell>
          <cell r="AC173">
            <v>1758028656.7457473</v>
          </cell>
          <cell r="AD173">
            <v>1646442592.5845459</v>
          </cell>
          <cell r="AE173">
            <v>1722585991.0669663</v>
          </cell>
          <cell r="AF173">
            <v>1721712198.2569585</v>
          </cell>
          <cell r="AG173">
            <v>2008189638.9482024</v>
          </cell>
          <cell r="AH173">
            <v>2314204989.7220683</v>
          </cell>
          <cell r="AI173">
            <v>2737088195.9445858</v>
          </cell>
          <cell r="AJ173">
            <v>3206784402.3811116</v>
          </cell>
          <cell r="AK173">
            <v>2618837532.194375</v>
          </cell>
          <cell r="AL173">
            <v>3013392429.8558469</v>
          </cell>
          <cell r="AM173">
            <v>1719864761.3062811</v>
          </cell>
          <cell r="AN173">
            <v>2033701542.3252006</v>
          </cell>
          <cell r="AO173">
            <v>3319573821.8937597</v>
          </cell>
          <cell r="AP173">
            <v>3875785863.383234</v>
          </cell>
          <cell r="AQ173">
            <v>2547609562.7402663</v>
          </cell>
          <cell r="AR173">
            <v>2584478943.6010456</v>
          </cell>
          <cell r="AS173">
            <v>2537307566.1239352</v>
          </cell>
          <cell r="AT173">
            <v>2498008653.1358509</v>
          </cell>
          <cell r="AU173">
            <v>5087328437.8736963</v>
          </cell>
          <cell r="AV173">
            <v>4669789300.3566208</v>
          </cell>
          <cell r="AW173">
            <v>5058726350.4889584</v>
          </cell>
          <cell r="AX173">
            <v>5320409651.4754362</v>
          </cell>
          <cell r="AY173">
            <v>5818279739.1435413</v>
          </cell>
          <cell r="AZ173">
            <v>6451210219.1168308</v>
          </cell>
          <cell r="BA173">
            <v>7743617352.2142696</v>
          </cell>
          <cell r="BB173">
            <v>9009887946.8203945</v>
          </cell>
          <cell r="BC173">
            <v>10128323010.604923</v>
          </cell>
          <cell r="BD173">
            <v>11648142958.365147</v>
          </cell>
          <cell r="BE173">
            <v>8773203178.1651192</v>
          </cell>
          <cell r="BF173">
            <v>8031571927.6205492</v>
          </cell>
          <cell r="BG173">
            <v>8801326169.1454697</v>
          </cell>
          <cell r="BH173">
            <v>9219474373.1641846</v>
          </cell>
          <cell r="BI173">
            <v>7909868618.4636602</v>
          </cell>
          <cell r="BJ173">
            <v>8943543677.1889935</v>
          </cell>
          <cell r="BK173">
            <v>9880675785.9305706</v>
          </cell>
          <cell r="BL173">
            <v>11025371147.187582</v>
          </cell>
          <cell r="BM173">
            <v>12056108780.207331</v>
          </cell>
        </row>
        <row r="174">
          <cell r="B174" t="str">
            <v>MYS</v>
          </cell>
          <cell r="C174" t="str">
            <v>GDP (current US$)</v>
          </cell>
          <cell r="D174" t="str">
            <v>NY.GDP.MKTP.CD</v>
          </cell>
          <cell r="E174">
            <v>1916229475.8463061</v>
          </cell>
          <cell r="F174">
            <v>1901856121.441731</v>
          </cell>
          <cell r="G174">
            <v>2001489600.8370812</v>
          </cell>
          <cell r="H174">
            <v>2510110346.471704</v>
          </cell>
          <cell r="I174">
            <v>2674423920.6876421</v>
          </cell>
          <cell r="J174">
            <v>2956337667.3046489</v>
          </cell>
          <cell r="K174">
            <v>3143517941.7096834</v>
          </cell>
          <cell r="L174">
            <v>3188924674.9423184</v>
          </cell>
          <cell r="M174">
            <v>3330371548.9691596</v>
          </cell>
          <cell r="N174">
            <v>3664552038.8755307</v>
          </cell>
          <cell r="O174">
            <v>3864145664.811789</v>
          </cell>
          <cell r="P174">
            <v>4244395358.101656</v>
          </cell>
          <cell r="Q174">
            <v>5043347485.9119358</v>
          </cell>
          <cell r="R174">
            <v>7662903760.3432331</v>
          </cell>
          <cell r="S174">
            <v>9496205619.75383</v>
          </cell>
          <cell r="T174">
            <v>9298800799.4670219</v>
          </cell>
          <cell r="U174">
            <v>11050234602.248013</v>
          </cell>
          <cell r="V174">
            <v>13139486857.958038</v>
          </cell>
          <cell r="W174">
            <v>16358082222.899666</v>
          </cell>
          <cell r="X174">
            <v>21213268200.390636</v>
          </cell>
          <cell r="Y174">
            <v>24488220937.784504</v>
          </cell>
          <cell r="Z174">
            <v>25004285800.829739</v>
          </cell>
          <cell r="AA174">
            <v>26804497470.732822</v>
          </cell>
          <cell r="AB174">
            <v>30347442121.826355</v>
          </cell>
          <cell r="AC174">
            <v>33942902256.945423</v>
          </cell>
          <cell r="AD174">
            <v>31199637541.321926</v>
          </cell>
          <cell r="AE174">
            <v>27734114980.969898</v>
          </cell>
          <cell r="AF174">
            <v>32181205900.582336</v>
          </cell>
          <cell r="AG174">
            <v>35272104730.568314</v>
          </cell>
          <cell r="AH174">
            <v>38847970073.309273</v>
          </cell>
          <cell r="AI174">
            <v>44024585239.613663</v>
          </cell>
          <cell r="AJ174">
            <v>49143148094.268257</v>
          </cell>
          <cell r="AK174">
            <v>59167550162.955986</v>
          </cell>
          <cell r="AL174">
            <v>66894966968.973564</v>
          </cell>
          <cell r="AM174">
            <v>74478356957.780823</v>
          </cell>
          <cell r="AN174">
            <v>88705342902.711319</v>
          </cell>
          <cell r="AO174">
            <v>100855393910.48573</v>
          </cell>
          <cell r="AP174">
            <v>100005323301.8667</v>
          </cell>
          <cell r="AQ174">
            <v>72167498980.839798</v>
          </cell>
          <cell r="AR174">
            <v>79148421052.631577</v>
          </cell>
          <cell r="AS174">
            <v>93789736842.10527</v>
          </cell>
          <cell r="AT174">
            <v>92783947368.421051</v>
          </cell>
          <cell r="AU174">
            <v>100845526315.78947</v>
          </cell>
          <cell r="AV174">
            <v>110202368421.05264</v>
          </cell>
          <cell r="AW174">
            <v>124749473684.21053</v>
          </cell>
          <cell r="AX174">
            <v>143534418452.15424</v>
          </cell>
          <cell r="AY174">
            <v>162692260155.07013</v>
          </cell>
          <cell r="AZ174">
            <v>193549547954.75284</v>
          </cell>
          <cell r="BA174">
            <v>230811591306.52036</v>
          </cell>
          <cell r="BB174">
            <v>202257458160.84949</v>
          </cell>
          <cell r="BC174">
            <v>255017645207.1796</v>
          </cell>
          <cell r="BD174">
            <v>297951667650.44861</v>
          </cell>
          <cell r="BE174">
            <v>314443061220.13831</v>
          </cell>
          <cell r="BF174">
            <v>323276281683.44061</v>
          </cell>
          <cell r="BG174">
            <v>338066121289.41278</v>
          </cell>
          <cell r="BH174">
            <v>301354783698.71985</v>
          </cell>
          <cell r="BI174">
            <v>301255332137.07544</v>
          </cell>
          <cell r="BJ174">
            <v>319109103242.0553</v>
          </cell>
          <cell r="BK174">
            <v>358788833524.94489</v>
          </cell>
          <cell r="BL174">
            <v>365177744321.01135</v>
          </cell>
          <cell r="BM174">
            <v>337339463179.96051</v>
          </cell>
        </row>
        <row r="175">
          <cell r="B175" t="str">
            <v>NAC</v>
          </cell>
          <cell r="C175" t="str">
            <v>GDP (current US$)</v>
          </cell>
          <cell r="D175" t="str">
            <v>NY.GDP.MKTP.CD</v>
          </cell>
          <cell r="E175">
            <v>583846865155.96265</v>
          </cell>
          <cell r="F175">
            <v>604324383529.85474</v>
          </cell>
          <cell r="G175">
            <v>647421507831.2677</v>
          </cell>
          <cell r="H175">
            <v>683726091142.69226</v>
          </cell>
          <cell r="I175">
            <v>735285529799.61182</v>
          </cell>
          <cell r="J175">
            <v>798329454784.96692</v>
          </cell>
          <cell r="K175">
            <v>876221164375.33325</v>
          </cell>
          <cell r="L175">
            <v>927523614111.88623</v>
          </cell>
          <cell r="M175">
            <v>1014480047239.0138</v>
          </cell>
          <cell r="N175">
            <v>1099212903144.7059</v>
          </cell>
          <cell r="O175">
            <v>1161681557632.3091</v>
          </cell>
          <cell r="P175">
            <v>1264666514680.0417</v>
          </cell>
          <cell r="Q175">
            <v>1392809248873.6233</v>
          </cell>
          <cell r="R175">
            <v>1557411142644.9717</v>
          </cell>
          <cell r="S175">
            <v>1706501904010.365</v>
          </cell>
          <cell r="T175">
            <v>1859675742591.4978</v>
          </cell>
          <cell r="U175">
            <v>2081063962814.8154</v>
          </cell>
          <cell r="V175">
            <v>2294598176304.6548</v>
          </cell>
          <cell r="W175">
            <v>2571452194594.9756</v>
          </cell>
          <cell r="X175">
            <v>2871736224251.8345</v>
          </cell>
          <cell r="Y175">
            <v>3132690552139.7622</v>
          </cell>
          <cell r="Z175">
            <v>3515025943002.167</v>
          </cell>
          <cell r="AA175">
            <v>3659213403680.7598</v>
          </cell>
          <cell r="AB175">
            <v>3976790396303.0669</v>
          </cell>
          <cell r="AC175">
            <v>4395326572390.4097</v>
          </cell>
          <cell r="AD175">
            <v>4706202530269.7969</v>
          </cell>
          <cell r="AE175">
            <v>4959819231231.833</v>
          </cell>
          <cell r="AF175">
            <v>5289651428003.9336</v>
          </cell>
          <cell r="AG175">
            <v>5747232777228.0742</v>
          </cell>
          <cell r="AH175">
            <v>6210306867066.4688</v>
          </cell>
          <cell r="AI175">
            <v>6560825464840.252</v>
          </cell>
          <cell r="AJ175">
            <v>6772277795512.6133</v>
          </cell>
          <cell r="AK175">
            <v>7116382987449.3926</v>
          </cell>
          <cell r="AL175">
            <v>7439438360930.9258</v>
          </cell>
          <cell r="AM175">
            <v>7869047506907.2686</v>
          </cell>
          <cell r="AN175">
            <v>8247720786992.1357</v>
          </cell>
          <cell r="AO175">
            <v>8706415377889.2852</v>
          </cell>
          <cell r="AP175">
            <v>9235475216556.6074</v>
          </cell>
          <cell r="AQ175">
            <v>9699946684246.9473</v>
          </cell>
          <cell r="AR175">
            <v>10312908917711.895</v>
          </cell>
          <cell r="AS175">
            <v>10999201631931.59</v>
          </cell>
          <cell r="AT175">
            <v>11324572986044.527</v>
          </cell>
          <cell r="AU175">
            <v>11693699517098.008</v>
          </cell>
          <cell r="AV175">
            <v>12356169212634.789</v>
          </cell>
          <cell r="AW175">
            <v>13248368139278.25</v>
          </cell>
          <cell r="AX175">
            <v>14217175927778.678</v>
          </cell>
          <cell r="AY175">
            <v>15140995757590.977</v>
          </cell>
          <cell r="AZ175">
            <v>15949814312783.264</v>
          </cell>
          <cell r="BA175">
            <v>16329827601721.654</v>
          </cell>
          <cell r="BB175">
            <v>15859346076157.295</v>
          </cell>
          <cell r="BC175">
            <v>16672942337486.26</v>
          </cell>
          <cell r="BD175">
            <v>17399367444174.521</v>
          </cell>
          <cell r="BE175">
            <v>18088716899521.598</v>
          </cell>
          <cell r="BF175">
            <v>18696254170834.988</v>
          </cell>
          <cell r="BG175">
            <v>19362844040439.945</v>
          </cell>
          <cell r="BH175">
            <v>19769184098217.141</v>
          </cell>
          <cell r="BI175">
            <v>20230005494907.426</v>
          </cell>
          <cell r="BJ175">
            <v>21133744509244.094</v>
          </cell>
          <cell r="BK175">
            <v>22265581227435.762</v>
          </cell>
          <cell r="BL175">
            <v>23132124767672.52</v>
          </cell>
          <cell r="BM175">
            <v>22714959162302.68</v>
          </cell>
        </row>
        <row r="176">
          <cell r="B176" t="str">
            <v>NAM</v>
          </cell>
          <cell r="C176" t="str">
            <v>GDP (current US$)</v>
          </cell>
          <cell r="D176" t="str">
            <v>NY.GDP.MKTP.CD</v>
          </cell>
          <cell r="Y176">
            <v>2421991155.0023561</v>
          </cell>
          <cell r="Z176">
            <v>2249908724.5580502</v>
          </cell>
          <cell r="AA176">
            <v>2118710573.9352834</v>
          </cell>
          <cell r="AB176">
            <v>2297400688.0660176</v>
          </cell>
          <cell r="AC176">
            <v>1951259376.8208456</v>
          </cell>
          <cell r="AD176">
            <v>1608237350.8197169</v>
          </cell>
          <cell r="AE176">
            <v>1809048791.2504158</v>
          </cell>
          <cell r="AF176">
            <v>2300067840.457756</v>
          </cell>
          <cell r="AG176">
            <v>2495095295.1823587</v>
          </cell>
          <cell r="AH176">
            <v>2535135314.2732949</v>
          </cell>
          <cell r="AI176">
            <v>2789922033.0940828</v>
          </cell>
          <cell r="AJ176">
            <v>2996869281.4836407</v>
          </cell>
          <cell r="AK176">
            <v>3429521498.9874077</v>
          </cell>
          <cell r="AL176">
            <v>3251189247.7013783</v>
          </cell>
          <cell r="AM176">
            <v>3666503185.4338894</v>
          </cell>
          <cell r="AN176">
            <v>3978514206.3116798</v>
          </cell>
          <cell r="AO176">
            <v>3989163041.925529</v>
          </cell>
          <cell r="AP176">
            <v>4154990250.5699344</v>
          </cell>
          <cell r="AQ176">
            <v>3873109748.7903471</v>
          </cell>
          <cell r="AR176">
            <v>3868551624.8575792</v>
          </cell>
          <cell r="AS176">
            <v>3922231976.4393806</v>
          </cell>
          <cell r="AT176">
            <v>3557341284.0187964</v>
          </cell>
          <cell r="AU176">
            <v>3349169932.3008008</v>
          </cell>
          <cell r="AV176">
            <v>4926439274.9748564</v>
          </cell>
          <cell r="AW176">
            <v>6609206506.346858</v>
          </cell>
          <cell r="AX176">
            <v>7248375216.5947475</v>
          </cell>
          <cell r="AY176">
            <v>8001779551.0632324</v>
          </cell>
          <cell r="AZ176">
            <v>8839536893.6844254</v>
          </cell>
          <cell r="BA176">
            <v>8607431845.1963139</v>
          </cell>
          <cell r="BB176">
            <v>8938847363.8781452</v>
          </cell>
          <cell r="BC176">
            <v>11431412421.131611</v>
          </cell>
          <cell r="BD176">
            <v>12523359440.549862</v>
          </cell>
          <cell r="BE176">
            <v>13042053856.969603</v>
          </cell>
          <cell r="BF176">
            <v>12043307277.123508</v>
          </cell>
          <cell r="BG176">
            <v>12435430396.192894</v>
          </cell>
          <cell r="BH176">
            <v>11335161230.160774</v>
          </cell>
          <cell r="BI176">
            <v>10722018975.078331</v>
          </cell>
          <cell r="BJ176">
            <v>12895153160.46599</v>
          </cell>
          <cell r="BK176">
            <v>13682019171.662729</v>
          </cell>
          <cell r="BL176">
            <v>12541928102.765705</v>
          </cell>
          <cell r="BM176">
            <v>10583748757.334488</v>
          </cell>
        </row>
        <row r="177">
          <cell r="B177" t="str">
            <v>NCL</v>
          </cell>
          <cell r="C177" t="str">
            <v>GDP (current US$)</v>
          </cell>
          <cell r="D177" t="str">
            <v>NY.GDP.MKTP.CD</v>
          </cell>
          <cell r="J177">
            <v>159594492.3058385</v>
          </cell>
          <cell r="K177">
            <v>164206536.28278512</v>
          </cell>
          <cell r="L177">
            <v>180036767.47082978</v>
          </cell>
          <cell r="M177">
            <v>215507162.35582361</v>
          </cell>
          <cell r="N177">
            <v>263108841.07809305</v>
          </cell>
          <cell r="O177">
            <v>358815683.71662933</v>
          </cell>
          <cell r="P177">
            <v>413985777.67044121</v>
          </cell>
          <cell r="Q177">
            <v>506808996.96049601</v>
          </cell>
          <cell r="R177">
            <v>542293400.02626157</v>
          </cell>
          <cell r="S177">
            <v>637403479.72911215</v>
          </cell>
          <cell r="T177">
            <v>816652167.28562486</v>
          </cell>
          <cell r="U177">
            <v>798313524.68347442</v>
          </cell>
          <cell r="V177">
            <v>837620127.3418833</v>
          </cell>
          <cell r="W177">
            <v>846004692.25981581</v>
          </cell>
          <cell r="X177">
            <v>1047225724.4519622</v>
          </cell>
          <cell r="Y177">
            <v>1182463958.6964798</v>
          </cell>
          <cell r="Z177">
            <v>972564156.96709871</v>
          </cell>
          <cell r="AA177">
            <v>904599871.51748288</v>
          </cell>
          <cell r="AB177">
            <v>823857894.30267465</v>
          </cell>
          <cell r="AC177">
            <v>796066192.87269533</v>
          </cell>
          <cell r="AD177">
            <v>854820894.09800553</v>
          </cell>
          <cell r="AE177">
            <v>1201321509.3307161</v>
          </cell>
          <cell r="AF177">
            <v>1488093104.5664821</v>
          </cell>
          <cell r="AG177">
            <v>2072775508.2436526</v>
          </cell>
          <cell r="AH177">
            <v>2185082943.5457258</v>
          </cell>
          <cell r="AI177">
            <v>2529440424.2942195</v>
          </cell>
          <cell r="AJ177">
            <v>2653780677.0107298</v>
          </cell>
          <cell r="AK177">
            <v>2923883289.637104</v>
          </cell>
          <cell r="AL177">
            <v>2822243775.1098957</v>
          </cell>
          <cell r="AM177">
            <v>3038728391.4587817</v>
          </cell>
          <cell r="AN177">
            <v>3628440524.3927789</v>
          </cell>
          <cell r="AO177">
            <v>3606968436.3675838</v>
          </cell>
          <cell r="AP177">
            <v>3291131295.1518378</v>
          </cell>
          <cell r="AQ177">
            <v>3556304834.3984542</v>
          </cell>
          <cell r="AR177">
            <v>3647802046.2205963</v>
          </cell>
          <cell r="AS177">
            <v>3420032042.3107953</v>
          </cell>
          <cell r="AT177">
            <v>3297734885.7948818</v>
          </cell>
          <cell r="AU177">
            <v>3740056751.5258994</v>
          </cell>
          <cell r="AV177">
            <v>4915353825.5934343</v>
          </cell>
          <cell r="AW177">
            <v>5895008984.5574589</v>
          </cell>
          <cell r="AX177">
            <v>6238629461.585741</v>
          </cell>
          <cell r="AY177">
            <v>6979155408.4442949</v>
          </cell>
          <cell r="AZ177">
            <v>8819917187.1109447</v>
          </cell>
          <cell r="BA177">
            <v>9067619728.9959202</v>
          </cell>
          <cell r="BB177">
            <v>8704438060.5207195</v>
          </cell>
          <cell r="BC177">
            <v>9364350064.9869461</v>
          </cell>
          <cell r="BD177">
            <v>10351448025.302691</v>
          </cell>
          <cell r="BE177">
            <v>9659151908.6543541</v>
          </cell>
          <cell r="BF177">
            <v>10151382876.811338</v>
          </cell>
          <cell r="BG177">
            <v>10635035550.010035</v>
          </cell>
          <cell r="BH177">
            <v>8738203041.5469742</v>
          </cell>
          <cell r="BI177">
            <v>8724568970.6769695</v>
          </cell>
          <cell r="BJ177">
            <v>9173669999.5943413</v>
          </cell>
          <cell r="BK177">
            <v>9896402295.4832859</v>
          </cell>
          <cell r="BL177">
            <v>9475655341.9831638</v>
          </cell>
          <cell r="BM177">
            <v>9454629451.0321903</v>
          </cell>
        </row>
        <row r="178">
          <cell r="B178" t="str">
            <v>NER</v>
          </cell>
          <cell r="C178" t="str">
            <v>GDP (current US$)</v>
          </cell>
          <cell r="D178" t="str">
            <v>NY.GDP.MKTP.CD</v>
          </cell>
          <cell r="E178">
            <v>449526872.56556129</v>
          </cell>
          <cell r="F178">
            <v>485785231.72935349</v>
          </cell>
          <cell r="G178">
            <v>531736599.93073624</v>
          </cell>
          <cell r="H178">
            <v>586294879.47189975</v>
          </cell>
          <cell r="I178">
            <v>582816396.2164011</v>
          </cell>
          <cell r="J178">
            <v>673383510.24212158</v>
          </cell>
          <cell r="K178">
            <v>702296079.85769176</v>
          </cell>
          <cell r="L178">
            <v>665586872.83916223</v>
          </cell>
          <cell r="M178">
            <v>641214226.83901155</v>
          </cell>
          <cell r="N178">
            <v>625867984.42817962</v>
          </cell>
          <cell r="O178">
            <v>649916621.17985654</v>
          </cell>
          <cell r="P178">
            <v>693573704.42286551</v>
          </cell>
          <cell r="Q178">
            <v>742779659.45516646</v>
          </cell>
          <cell r="R178">
            <v>946385104.96773088</v>
          </cell>
          <cell r="S178">
            <v>1026137112.4370686</v>
          </cell>
          <cell r="T178">
            <v>1048690931.5405966</v>
          </cell>
          <cell r="U178">
            <v>1064517600.1005086</v>
          </cell>
          <cell r="V178">
            <v>1291458043.7402987</v>
          </cell>
          <cell r="W178">
            <v>1774365587.8685126</v>
          </cell>
          <cell r="X178">
            <v>2109277663.0974798</v>
          </cell>
          <cell r="Y178">
            <v>2508524715.7951574</v>
          </cell>
          <cell r="Z178">
            <v>2170893417.9812899</v>
          </cell>
          <cell r="AA178">
            <v>2017612217.8275211</v>
          </cell>
          <cell r="AB178">
            <v>1803099561.0839307</v>
          </cell>
          <cell r="AC178">
            <v>1461243326.8377507</v>
          </cell>
          <cell r="AD178">
            <v>1440581653.3232758</v>
          </cell>
          <cell r="AE178">
            <v>1904097000.7496278</v>
          </cell>
          <cell r="AF178">
            <v>2233006101.9447513</v>
          </cell>
          <cell r="AG178">
            <v>2280356194.1455908</v>
          </cell>
          <cell r="AH178">
            <v>2179567111.0004029</v>
          </cell>
          <cell r="AI178">
            <v>3512356508.4743462</v>
          </cell>
          <cell r="AJ178">
            <v>3285796877.1979942</v>
          </cell>
          <cell r="AK178">
            <v>3386232582.4160967</v>
          </cell>
          <cell r="AL178">
            <v>3052673843.8612967</v>
          </cell>
          <cell r="AM178">
            <v>1938058176.4158549</v>
          </cell>
          <cell r="AN178">
            <v>2302537562.6993108</v>
          </cell>
          <cell r="AO178">
            <v>2405686938.7648335</v>
          </cell>
          <cell r="AP178">
            <v>2290318908.8198557</v>
          </cell>
          <cell r="AQ178">
            <v>2643363520.9313488</v>
          </cell>
          <cell r="AR178">
            <v>2537789819.3769379</v>
          </cell>
          <cell r="AS178">
            <v>2241753192.7125664</v>
          </cell>
          <cell r="AT178">
            <v>2448714703.0961165</v>
          </cell>
          <cell r="AU178">
            <v>2782192880.6918721</v>
          </cell>
          <cell r="AV178">
            <v>3394084731.4860058</v>
          </cell>
          <cell r="AW178">
            <v>3760443735.4587479</v>
          </cell>
          <cell r="AX178">
            <v>4383315967.499979</v>
          </cell>
          <cell r="AY178">
            <v>4756361253.3335829</v>
          </cell>
          <cell r="AZ178">
            <v>5731485046.0863953</v>
          </cell>
          <cell r="BA178">
            <v>7297600218.9239397</v>
          </cell>
          <cell r="BB178">
            <v>7352131304.3963127</v>
          </cell>
          <cell r="BC178">
            <v>7851192498.7715406</v>
          </cell>
          <cell r="BD178">
            <v>8772950783.0241432</v>
          </cell>
          <cell r="BE178">
            <v>9426912639.2038155</v>
          </cell>
          <cell r="BF178">
            <v>10224897440.92387</v>
          </cell>
          <cell r="BG178">
            <v>10862943546.285133</v>
          </cell>
          <cell r="BH178">
            <v>9683867926.7276649</v>
          </cell>
          <cell r="BI178">
            <v>10398861980.652416</v>
          </cell>
          <cell r="BJ178">
            <v>11185101444.372858</v>
          </cell>
          <cell r="BK178">
            <v>12808661487.40345</v>
          </cell>
          <cell r="BL178">
            <v>12916454870.545797</v>
          </cell>
          <cell r="BM178">
            <v>13744174582.253189</v>
          </cell>
        </row>
        <row r="179">
          <cell r="B179" t="str">
            <v>NGA</v>
          </cell>
          <cell r="C179" t="str">
            <v>GDP (current US$)</v>
          </cell>
          <cell r="D179" t="str">
            <v>NY.GDP.MKTP.CD</v>
          </cell>
          <cell r="E179">
            <v>4196174503.2086668</v>
          </cell>
          <cell r="F179">
            <v>4467287894.8717556</v>
          </cell>
          <cell r="G179">
            <v>4909399178.2040863</v>
          </cell>
          <cell r="H179">
            <v>5165590255.8301315</v>
          </cell>
          <cell r="I179">
            <v>5552931321.0486422</v>
          </cell>
          <cell r="J179">
            <v>5874537652.5347528</v>
          </cell>
          <cell r="K179">
            <v>6366917455.7797823</v>
          </cell>
          <cell r="L179">
            <v>5203237920.7861252</v>
          </cell>
          <cell r="M179">
            <v>5200997921.6812286</v>
          </cell>
          <cell r="N179">
            <v>6634317348.9267855</v>
          </cell>
          <cell r="O179">
            <v>12546094986.580439</v>
          </cell>
          <cell r="P179">
            <v>9181769911.504425</v>
          </cell>
          <cell r="Q179">
            <v>12274416017.797552</v>
          </cell>
          <cell r="R179">
            <v>15162871287.128712</v>
          </cell>
          <cell r="S179">
            <v>24846641318.124207</v>
          </cell>
          <cell r="T179">
            <v>27778934624.697338</v>
          </cell>
          <cell r="U179">
            <v>36308883248.730965</v>
          </cell>
          <cell r="V179">
            <v>36035407725.321884</v>
          </cell>
          <cell r="W179">
            <v>36527862208.713272</v>
          </cell>
          <cell r="X179">
            <v>47259911894.273125</v>
          </cell>
          <cell r="Y179">
            <v>64201788122.605362</v>
          </cell>
          <cell r="Z179">
            <v>164475209515.9386</v>
          </cell>
          <cell r="AA179">
            <v>142769363314.17624</v>
          </cell>
          <cell r="AB179">
            <v>97094911792.048935</v>
          </cell>
          <cell r="AC179">
            <v>73484359521.488693</v>
          </cell>
          <cell r="AD179">
            <v>73745821158.225357</v>
          </cell>
          <cell r="AE179">
            <v>54805852580.912857</v>
          </cell>
          <cell r="AF179">
            <v>52676041931.108727</v>
          </cell>
          <cell r="AG179">
            <v>49648470440.459335</v>
          </cell>
          <cell r="AH179">
            <v>44003061108.400505</v>
          </cell>
          <cell r="AI179">
            <v>54035795387.808609</v>
          </cell>
          <cell r="AJ179">
            <v>49118434950.41877</v>
          </cell>
          <cell r="AK179">
            <v>47794954191.500999</v>
          </cell>
          <cell r="AL179">
            <v>27752204787.489037</v>
          </cell>
          <cell r="AM179">
            <v>33833043777.737209</v>
          </cell>
          <cell r="AN179">
            <v>44062465417.942062</v>
          </cell>
          <cell r="AO179">
            <v>51075815092.5</v>
          </cell>
          <cell r="AP179">
            <v>54457835603.135658</v>
          </cell>
          <cell r="AQ179">
            <v>54604050168.181816</v>
          </cell>
          <cell r="AR179">
            <v>59372679433.174583</v>
          </cell>
          <cell r="AS179">
            <v>69448962760.878677</v>
          </cell>
          <cell r="AT179">
            <v>74030562269.965515</v>
          </cell>
          <cell r="AU179">
            <v>95054094655.327728</v>
          </cell>
          <cell r="AV179">
            <v>104738980156.95811</v>
          </cell>
          <cell r="AW179">
            <v>135764715375.2057</v>
          </cell>
          <cell r="AX179">
            <v>175670536601.00577</v>
          </cell>
          <cell r="AY179">
            <v>238454952231.57196</v>
          </cell>
          <cell r="AZ179">
            <v>278260808841.03009</v>
          </cell>
          <cell r="BA179">
            <v>339476215683.59222</v>
          </cell>
          <cell r="BB179">
            <v>295008767295.03827</v>
          </cell>
          <cell r="BC179">
            <v>366990528103.07831</v>
          </cell>
          <cell r="BD179">
            <v>414466540786.7381</v>
          </cell>
          <cell r="BE179">
            <v>463971000388.61194</v>
          </cell>
          <cell r="BF179">
            <v>520117163617.72113</v>
          </cell>
          <cell r="BG179">
            <v>574183825592.35791</v>
          </cell>
          <cell r="BH179">
            <v>493026782401.56067</v>
          </cell>
          <cell r="BI179">
            <v>404649048648.026</v>
          </cell>
          <cell r="BJ179">
            <v>375745732274.67621</v>
          </cell>
          <cell r="BK179">
            <v>421739210176.15198</v>
          </cell>
          <cell r="BL179">
            <v>474517470742.74933</v>
          </cell>
          <cell r="BM179">
            <v>432198936002.17651</v>
          </cell>
        </row>
        <row r="180">
          <cell r="B180" t="str">
            <v>NIC</v>
          </cell>
          <cell r="C180" t="str">
            <v>GDP (current US$)</v>
          </cell>
          <cell r="D180" t="str">
            <v>NY.GDP.MKTP.CD</v>
          </cell>
          <cell r="E180">
            <v>227223322.14153728</v>
          </cell>
          <cell r="F180">
            <v>244144236.65330982</v>
          </cell>
          <cell r="G180">
            <v>269283803.6868245</v>
          </cell>
          <cell r="H180">
            <v>297324163.09551281</v>
          </cell>
          <cell r="I180">
            <v>347119918.15857744</v>
          </cell>
          <cell r="J180">
            <v>564290020.38428795</v>
          </cell>
          <cell r="K180">
            <v>607140010.4756819</v>
          </cell>
          <cell r="L180">
            <v>657140010.74755394</v>
          </cell>
          <cell r="M180">
            <v>692859984.61215806</v>
          </cell>
          <cell r="N180">
            <v>750000002.89490318</v>
          </cell>
          <cell r="O180">
            <v>778569938.82422507</v>
          </cell>
          <cell r="P180">
            <v>828569953.47439992</v>
          </cell>
          <cell r="Q180">
            <v>878570045.45099783</v>
          </cell>
          <cell r="R180">
            <v>1092900014.791677</v>
          </cell>
          <cell r="S180">
            <v>1521400011.5346324</v>
          </cell>
          <cell r="T180">
            <v>1581599958.5988998</v>
          </cell>
          <cell r="U180">
            <v>1836899998.9457891</v>
          </cell>
          <cell r="V180">
            <v>2226999873.7185588</v>
          </cell>
          <cell r="W180">
            <v>2127699978.7807727</v>
          </cell>
          <cell r="X180">
            <v>1567599981.6980588</v>
          </cell>
          <cell r="Y180">
            <v>2144300006.1802764</v>
          </cell>
          <cell r="Z180">
            <v>2474700227.0466166</v>
          </cell>
          <cell r="AA180">
            <v>2454499872.0378914</v>
          </cell>
          <cell r="AB180">
            <v>2753100057.788022</v>
          </cell>
          <cell r="AC180">
            <v>3117599872.0876446</v>
          </cell>
          <cell r="AD180">
            <v>2683699935.3647895</v>
          </cell>
          <cell r="AE180">
            <v>2885799993.9157104</v>
          </cell>
          <cell r="AF180">
            <v>3851200117.7735519</v>
          </cell>
          <cell r="AG180">
            <v>2630900095.6021924</v>
          </cell>
          <cell r="AH180">
            <v>1013184755.5702574</v>
          </cell>
          <cell r="AI180">
            <v>1009455476.1073238</v>
          </cell>
          <cell r="AJ180">
            <v>1488804123.7113404</v>
          </cell>
          <cell r="AK180">
            <v>1792800000</v>
          </cell>
          <cell r="AL180">
            <v>1756454248.3660131</v>
          </cell>
          <cell r="AM180">
            <v>3863185119.0476193</v>
          </cell>
          <cell r="AN180">
            <v>4140470000</v>
          </cell>
          <cell r="AO180">
            <v>4308351902.7860107</v>
          </cell>
          <cell r="AP180">
            <v>4389973334.9797592</v>
          </cell>
          <cell r="AQ180">
            <v>4635267224.8419495</v>
          </cell>
          <cell r="AR180">
            <v>4855717874.6824722</v>
          </cell>
          <cell r="AS180">
            <v>5107329007.0921984</v>
          </cell>
          <cell r="AT180">
            <v>5323146565.7031498</v>
          </cell>
          <cell r="AU180">
            <v>5224213017.5438595</v>
          </cell>
          <cell r="AV180">
            <v>5322454925.8474579</v>
          </cell>
          <cell r="AW180">
            <v>5795568204.6453238</v>
          </cell>
          <cell r="AX180">
            <v>6321324455.1694059</v>
          </cell>
          <cell r="AY180">
            <v>6763418645.8137703</v>
          </cell>
          <cell r="AZ180">
            <v>7423365274.8946838</v>
          </cell>
          <cell r="BA180">
            <v>8496948184.4204206</v>
          </cell>
          <cell r="BB180">
            <v>8298736471.1244106</v>
          </cell>
          <cell r="BC180">
            <v>8758619130.5804272</v>
          </cell>
          <cell r="BD180">
            <v>9774320144.0004902</v>
          </cell>
          <cell r="BE180">
            <v>10531980451.184729</v>
          </cell>
          <cell r="BF180">
            <v>10982954744.441486</v>
          </cell>
          <cell r="BG180">
            <v>11880433902.936106</v>
          </cell>
          <cell r="BH180">
            <v>12756722238.370897</v>
          </cell>
          <cell r="BI180">
            <v>13286066154.960283</v>
          </cell>
          <cell r="BJ180">
            <v>13785890939.444656</v>
          </cell>
          <cell r="BK180">
            <v>13025266513.31674</v>
          </cell>
          <cell r="BL180">
            <v>12699028889.666014</v>
          </cell>
          <cell r="BM180">
            <v>12678162359.402063</v>
          </cell>
        </row>
        <row r="181">
          <cell r="B181" t="str">
            <v>NLD</v>
          </cell>
          <cell r="C181" t="str">
            <v>GDP (current US$)</v>
          </cell>
          <cell r="D181" t="str">
            <v>NY.GDP.MKTP.CD</v>
          </cell>
          <cell r="E181">
            <v>12276734172.082758</v>
          </cell>
          <cell r="F181">
            <v>13493833739.99494</v>
          </cell>
          <cell r="G181">
            <v>14647057370.141788</v>
          </cell>
          <cell r="H181">
            <v>15891241386.290953</v>
          </cell>
          <cell r="I181">
            <v>18699380731.346462</v>
          </cell>
          <cell r="J181">
            <v>21000586933.204056</v>
          </cell>
          <cell r="K181">
            <v>22867203317.402157</v>
          </cell>
          <cell r="L181">
            <v>25087562181.321754</v>
          </cell>
          <cell r="M181">
            <v>27817605743.250271</v>
          </cell>
          <cell r="N181">
            <v>34035946604.181541</v>
          </cell>
          <cell r="O181">
            <v>38164716625.068481</v>
          </cell>
          <cell r="P181">
            <v>44579122807.01754</v>
          </cell>
          <cell r="Q181">
            <v>54706557264.487778</v>
          </cell>
          <cell r="R181">
            <v>71840909664.196762</v>
          </cell>
          <cell r="S181">
            <v>87243413394.540543</v>
          </cell>
          <cell r="T181">
            <v>100249523353.0847</v>
          </cell>
          <cell r="U181">
            <v>109168720620.10335</v>
          </cell>
          <cell r="V181">
            <v>127016990212.80417</v>
          </cell>
          <cell r="W181">
            <v>155859695457.32327</v>
          </cell>
          <cell r="X181">
            <v>179669405690.43173</v>
          </cell>
          <cell r="Y181">
            <v>195152092662.38086</v>
          </cell>
          <cell r="Z181">
            <v>164134217080.27905</v>
          </cell>
          <cell r="AA181">
            <v>158479527935.95773</v>
          </cell>
          <cell r="AB181">
            <v>153445465987.18246</v>
          </cell>
          <cell r="AC181">
            <v>143912664148.35165</v>
          </cell>
          <cell r="AD181">
            <v>143845822717.62207</v>
          </cell>
          <cell r="AE181">
            <v>200862095700.66562</v>
          </cell>
          <cell r="AF181">
            <v>245046310922.54132</v>
          </cell>
          <cell r="AG181">
            <v>261910508417.88382</v>
          </cell>
          <cell r="AH181">
            <v>258336705808.99927</v>
          </cell>
          <cell r="AI181">
            <v>318330511920.60992</v>
          </cell>
          <cell r="AJ181">
            <v>327500327675.62469</v>
          </cell>
          <cell r="AK181">
            <v>362962872180.45111</v>
          </cell>
          <cell r="AL181">
            <v>353550169672.5202</v>
          </cell>
          <cell r="AM181">
            <v>379130260322.07288</v>
          </cell>
          <cell r="AN181">
            <v>452301674444.1394</v>
          </cell>
          <cell r="AO181">
            <v>450490196078.43134</v>
          </cell>
          <cell r="AP181">
            <v>416812740004.51776</v>
          </cell>
          <cell r="AQ181">
            <v>438008220395.46765</v>
          </cell>
          <cell r="AR181">
            <v>447049523049.80792</v>
          </cell>
          <cell r="AS181">
            <v>417479337444.70679</v>
          </cell>
          <cell r="AT181">
            <v>431586852369.68555</v>
          </cell>
          <cell r="AU181">
            <v>473861980070.98126</v>
          </cell>
          <cell r="AV181">
            <v>580070360701.95959</v>
          </cell>
          <cell r="AW181">
            <v>658380081545.17542</v>
          </cell>
          <cell r="AX181">
            <v>685348181515.953</v>
          </cell>
          <cell r="AY181">
            <v>733955269898.82251</v>
          </cell>
          <cell r="AZ181">
            <v>848558887541.1792</v>
          </cell>
          <cell r="BA181">
            <v>951869997864.06226</v>
          </cell>
          <cell r="BB181">
            <v>871518638049.21814</v>
          </cell>
          <cell r="BC181">
            <v>847380859016.68848</v>
          </cell>
          <cell r="BD181">
            <v>905270626332.69287</v>
          </cell>
          <cell r="BE181">
            <v>838923319919.53149</v>
          </cell>
          <cell r="BF181">
            <v>877172824534.51929</v>
          </cell>
          <cell r="BG181">
            <v>892167986713.70813</v>
          </cell>
          <cell r="BH181">
            <v>765572770634.37463</v>
          </cell>
          <cell r="BI181">
            <v>784060430240.10144</v>
          </cell>
          <cell r="BJ181">
            <v>833869641687.06775</v>
          </cell>
          <cell r="BK181">
            <v>914043438179.59094</v>
          </cell>
          <cell r="BL181">
            <v>910194347568.60974</v>
          </cell>
          <cell r="BM181">
            <v>909793466661.46558</v>
          </cell>
        </row>
        <row r="182">
          <cell r="B182" t="str">
            <v>NOR</v>
          </cell>
          <cell r="C182" t="str">
            <v>GDP (current US$)</v>
          </cell>
          <cell r="D182" t="str">
            <v>NY.GDP.MKTP.CD</v>
          </cell>
          <cell r="E182">
            <v>5163271598.1570234</v>
          </cell>
          <cell r="F182">
            <v>5632460936.5457554</v>
          </cell>
          <cell r="G182">
            <v>6066976682.6736364</v>
          </cell>
          <cell r="H182">
            <v>6510239502.7648907</v>
          </cell>
          <cell r="I182">
            <v>7159202706.4802685</v>
          </cell>
          <cell r="J182">
            <v>8058680980.7971382</v>
          </cell>
          <cell r="K182">
            <v>8696460119.6969929</v>
          </cell>
          <cell r="L182">
            <v>9514496609.698885</v>
          </cell>
          <cell r="M182">
            <v>10159934036.728838</v>
          </cell>
          <cell r="N182">
            <v>11063064974.53977</v>
          </cell>
          <cell r="O182">
            <v>12814194863.301842</v>
          </cell>
          <cell r="P182">
            <v>14583103533.035072</v>
          </cell>
          <cell r="Q182">
            <v>17358481291.416187</v>
          </cell>
          <cell r="R182">
            <v>22534123432.149303</v>
          </cell>
          <cell r="S182">
            <v>27145652980.011719</v>
          </cell>
          <cell r="T182">
            <v>32877543120.252426</v>
          </cell>
          <cell r="U182">
            <v>35942160908.994209</v>
          </cell>
          <cell r="V182">
            <v>41508030438.904488</v>
          </cell>
          <cell r="W182">
            <v>46522900253.705437</v>
          </cell>
          <cell r="X182">
            <v>53132594368.12294</v>
          </cell>
          <cell r="Y182">
            <v>64439056747.655563</v>
          </cell>
          <cell r="Z182">
            <v>63596562434.400764</v>
          </cell>
          <cell r="AA182">
            <v>62646871991.56813</v>
          </cell>
          <cell r="AB182">
            <v>61627522382.595993</v>
          </cell>
          <cell r="AC182">
            <v>62058271862.754585</v>
          </cell>
          <cell r="AD182">
            <v>65416626280.89901</v>
          </cell>
          <cell r="AE182">
            <v>78692674637.044983</v>
          </cell>
          <cell r="AF182">
            <v>94230606535.113434</v>
          </cell>
          <cell r="AG182">
            <v>101900521458.03662</v>
          </cell>
          <cell r="AH182">
            <v>102633934390.61482</v>
          </cell>
          <cell r="AI182">
            <v>119791045690.1176</v>
          </cell>
          <cell r="AJ182">
            <v>121871665528.42325</v>
          </cell>
          <cell r="AK182">
            <v>130838022522.86026</v>
          </cell>
          <cell r="AL182">
            <v>120578717965.73569</v>
          </cell>
          <cell r="AM182">
            <v>127131604641.38986</v>
          </cell>
          <cell r="AN182">
            <v>152030652228.01639</v>
          </cell>
          <cell r="AO182">
            <v>163519897878.10242</v>
          </cell>
          <cell r="AP182">
            <v>161356612878.69434</v>
          </cell>
          <cell r="AQ182">
            <v>154230346261.26434</v>
          </cell>
          <cell r="AR182">
            <v>162384295939.11996</v>
          </cell>
          <cell r="AS182">
            <v>171456390281.95798</v>
          </cell>
          <cell r="AT182">
            <v>174240242224.61841</v>
          </cell>
          <cell r="AU182">
            <v>195915371987.69687</v>
          </cell>
          <cell r="AV182">
            <v>229384929368.92221</v>
          </cell>
          <cell r="AW182">
            <v>265267350723.20447</v>
          </cell>
          <cell r="AX182">
            <v>309978579743.88824</v>
          </cell>
          <cell r="AY182">
            <v>346913357588.35773</v>
          </cell>
          <cell r="AZ182">
            <v>402645550184.81641</v>
          </cell>
          <cell r="BA182">
            <v>464917553191.48938</v>
          </cell>
          <cell r="BB182">
            <v>387974344023.32379</v>
          </cell>
          <cell r="BC182">
            <v>431052143940.43817</v>
          </cell>
          <cell r="BD182">
            <v>501360549669.40381</v>
          </cell>
          <cell r="BE182">
            <v>512777309840.99701</v>
          </cell>
          <cell r="BF182">
            <v>526014468085.10638</v>
          </cell>
          <cell r="BG182">
            <v>501736471832.84814</v>
          </cell>
          <cell r="BH182">
            <v>388159512245.53046</v>
          </cell>
          <cell r="BI182">
            <v>370956547619.04761</v>
          </cell>
          <cell r="BJ182">
            <v>401745275035.26074</v>
          </cell>
          <cell r="BK182">
            <v>439788625883.79956</v>
          </cell>
          <cell r="BL182">
            <v>408742840909.09088</v>
          </cell>
          <cell r="BM182">
            <v>367633418886.62726</v>
          </cell>
        </row>
        <row r="183">
          <cell r="B183" t="str">
            <v>NPL</v>
          </cell>
          <cell r="C183" t="str">
            <v>GDP (current US$)</v>
          </cell>
          <cell r="D183" t="str">
            <v>NY.GDP.MKTP.CD</v>
          </cell>
          <cell r="E183">
            <v>508334413.96508729</v>
          </cell>
          <cell r="F183">
            <v>531959561.16012067</v>
          </cell>
          <cell r="G183">
            <v>574091100.69564128</v>
          </cell>
          <cell r="H183">
            <v>496947904.44303292</v>
          </cell>
          <cell r="I183">
            <v>496098775.30864197</v>
          </cell>
          <cell r="J183">
            <v>735267081.6555016</v>
          </cell>
          <cell r="K183">
            <v>906811943.82464898</v>
          </cell>
          <cell r="L183">
            <v>841974025.46265912</v>
          </cell>
          <cell r="M183">
            <v>772231413.8826251</v>
          </cell>
          <cell r="N183">
            <v>788641964.64345682</v>
          </cell>
          <cell r="O183">
            <v>865975307.77600002</v>
          </cell>
          <cell r="P183">
            <v>882765470.72217286</v>
          </cell>
          <cell r="Q183">
            <v>1024098397.7993107</v>
          </cell>
          <cell r="R183">
            <v>972101724.99536812</v>
          </cell>
          <cell r="S183">
            <v>1217953546.9760365</v>
          </cell>
          <cell r="T183">
            <v>1575789254.4693801</v>
          </cell>
          <cell r="U183">
            <v>1452788944.4562771</v>
          </cell>
          <cell r="V183">
            <v>1382400000</v>
          </cell>
          <cell r="W183">
            <v>1604162497.4594529</v>
          </cell>
          <cell r="X183">
            <v>1851250008.3333333</v>
          </cell>
          <cell r="Y183">
            <v>1945916583.3333333</v>
          </cell>
          <cell r="Z183">
            <v>2275583316.6666665</v>
          </cell>
          <cell r="AA183">
            <v>2395423680.228518</v>
          </cell>
          <cell r="AB183">
            <v>2447174803.5405083</v>
          </cell>
          <cell r="AC183">
            <v>2581207387.7970943</v>
          </cell>
          <cell r="AD183">
            <v>2619913955.515564</v>
          </cell>
          <cell r="AE183">
            <v>2850782092.6938658</v>
          </cell>
          <cell r="AF183">
            <v>2957255379.5431495</v>
          </cell>
          <cell r="AG183">
            <v>3487009748.3563819</v>
          </cell>
          <cell r="AH183">
            <v>3525225832.9905343</v>
          </cell>
          <cell r="AI183">
            <v>3627560281.9050469</v>
          </cell>
          <cell r="AJ183">
            <v>3921476084.8907189</v>
          </cell>
          <cell r="AK183">
            <v>3401211581.2917595</v>
          </cell>
          <cell r="AL183">
            <v>3660041666.6666665</v>
          </cell>
          <cell r="AM183">
            <v>4066775510.2040815</v>
          </cell>
          <cell r="AN183">
            <v>4401104417.6706829</v>
          </cell>
          <cell r="AO183">
            <v>4521580381.4713898</v>
          </cell>
          <cell r="AP183">
            <v>4918691916.5351572</v>
          </cell>
          <cell r="AQ183">
            <v>4856255044.3906374</v>
          </cell>
          <cell r="AR183">
            <v>5033642384.1059599</v>
          </cell>
          <cell r="AS183">
            <v>5494252207.9050245</v>
          </cell>
          <cell r="AT183">
            <v>6007055042.1768703</v>
          </cell>
          <cell r="AU183">
            <v>6050875806.664032</v>
          </cell>
          <cell r="AV183">
            <v>6330473096.5407085</v>
          </cell>
          <cell r="AW183">
            <v>7273938314.7198763</v>
          </cell>
          <cell r="AX183">
            <v>8130258415.2921476</v>
          </cell>
          <cell r="AY183">
            <v>9043715355.8880978</v>
          </cell>
          <cell r="AZ183">
            <v>10325618017.378969</v>
          </cell>
          <cell r="BA183">
            <v>12545438605.395878</v>
          </cell>
          <cell r="BB183">
            <v>12854985464.076431</v>
          </cell>
          <cell r="BC183">
            <v>16002656434.474615</v>
          </cell>
          <cell r="BD183">
            <v>21573872273.669529</v>
          </cell>
          <cell r="BE183">
            <v>21703100746.820614</v>
          </cell>
          <cell r="BF183">
            <v>22162205045.973061</v>
          </cell>
          <cell r="BG183">
            <v>22731612827.345818</v>
          </cell>
          <cell r="BH183">
            <v>24360801338.054329</v>
          </cell>
          <cell r="BI183">
            <v>24524109484.745346</v>
          </cell>
          <cell r="BJ183">
            <v>28971588880.820824</v>
          </cell>
          <cell r="BK183">
            <v>33111525182.713257</v>
          </cell>
          <cell r="BL183">
            <v>34186180694.928478</v>
          </cell>
          <cell r="BM183">
            <v>33433659223.178932</v>
          </cell>
        </row>
        <row r="184">
          <cell r="B184" t="str">
            <v>NRU</v>
          </cell>
          <cell r="C184" t="str">
            <v>GDP (current US$)</v>
          </cell>
          <cell r="D184" t="str">
            <v>NY.GDP.MKTP.CD</v>
          </cell>
          <cell r="BC184">
            <v>47562842.365835443</v>
          </cell>
          <cell r="BD184">
            <v>65071849.57513354</v>
          </cell>
          <cell r="BE184">
            <v>101055718.55150288</v>
          </cell>
          <cell r="BF184">
            <v>94384979.010946736</v>
          </cell>
          <cell r="BG184">
            <v>99149259.836562395</v>
          </cell>
          <cell r="BH184">
            <v>84863407.865009338</v>
          </cell>
          <cell r="BI184">
            <v>97541914.583304539</v>
          </cell>
          <cell r="BJ184">
            <v>109355653.69074246</v>
          </cell>
          <cell r="BK184">
            <v>130995580.09215406</v>
          </cell>
          <cell r="BL184">
            <v>125160081.80545966</v>
          </cell>
          <cell r="BM184">
            <v>124685686.62288938</v>
          </cell>
        </row>
        <row r="185">
          <cell r="B185" t="str">
            <v>NZL</v>
          </cell>
          <cell r="C185" t="str">
            <v>GDP (current US$)</v>
          </cell>
          <cell r="D185" t="str">
            <v>NY.GDP.MKTP.CD</v>
          </cell>
          <cell r="E185">
            <v>5485854791.9709644</v>
          </cell>
          <cell r="F185">
            <v>5670064168.2177305</v>
          </cell>
          <cell r="G185">
            <v>6077496267.7629433</v>
          </cell>
          <cell r="H185">
            <v>6638937283.1396275</v>
          </cell>
          <cell r="I185">
            <v>7274144350.8180857</v>
          </cell>
          <cell r="J185">
            <v>5654463548.9003077</v>
          </cell>
          <cell r="K185">
            <v>5863733192.4996204</v>
          </cell>
          <cell r="L185">
            <v>5961418093.5300255</v>
          </cell>
          <cell r="M185">
            <v>5180597708.877306</v>
          </cell>
          <cell r="N185">
            <v>5761588859.8256092</v>
          </cell>
          <cell r="P185">
            <v>7911136757.0686665</v>
          </cell>
          <cell r="Q185">
            <v>9567202750.7233124</v>
          </cell>
          <cell r="R185">
            <v>12802281897.871157</v>
          </cell>
          <cell r="S185">
            <v>13940743959.458288</v>
          </cell>
          <cell r="T185">
            <v>12861983284.391235</v>
          </cell>
          <cell r="U185">
            <v>13604832424.006235</v>
          </cell>
          <cell r="V185">
            <v>15446082335.718678</v>
          </cell>
          <cell r="W185">
            <v>18530518394.64883</v>
          </cell>
          <cell r="X185">
            <v>20730291375.987186</v>
          </cell>
          <cell r="Y185">
            <v>23244547384.674774</v>
          </cell>
          <cell r="Z185">
            <v>24417769672.484058</v>
          </cell>
          <cell r="AA185">
            <v>24164603058.994904</v>
          </cell>
          <cell r="AB185">
            <v>24308680631.430733</v>
          </cell>
          <cell r="AC185">
            <v>21665582141.067741</v>
          </cell>
          <cell r="AD185">
            <v>24679290455.61198</v>
          </cell>
          <cell r="AE185">
            <v>30604668356.5695</v>
          </cell>
          <cell r="AF185">
            <v>40375812560.029541</v>
          </cell>
          <cell r="AG185">
            <v>45176423605.594467</v>
          </cell>
          <cell r="AH185">
            <v>43920222524.708527</v>
          </cell>
          <cell r="AI185">
            <v>45495129385.047508</v>
          </cell>
          <cell r="AJ185">
            <v>42744828653.351402</v>
          </cell>
          <cell r="AK185">
            <v>41649386969.513298</v>
          </cell>
          <cell r="AL185">
            <v>46775038748.757339</v>
          </cell>
          <cell r="AM185">
            <v>55313381442.543686</v>
          </cell>
          <cell r="AN185">
            <v>63916899263.935493</v>
          </cell>
          <cell r="AO185">
            <v>70140835299.014847</v>
          </cell>
          <cell r="AP185">
            <v>66073130218.352776</v>
          </cell>
          <cell r="AQ185">
            <v>56226503975.820068</v>
          </cell>
          <cell r="AR185">
            <v>58762260625.875755</v>
          </cell>
          <cell r="AS185">
            <v>52622954598.929878</v>
          </cell>
          <cell r="AT185">
            <v>53872463497.170319</v>
          </cell>
          <cell r="AU185">
            <v>66627729311.449547</v>
          </cell>
          <cell r="AV185">
            <v>88250885550.262619</v>
          </cell>
          <cell r="AW185">
            <v>103905628688.94867</v>
          </cell>
          <cell r="AX185">
            <v>114720129550.09506</v>
          </cell>
          <cell r="AY185">
            <v>111538810712.66455</v>
          </cell>
          <cell r="AZ185">
            <v>137188946865.58389</v>
          </cell>
          <cell r="BA185">
            <v>133131369930.414</v>
          </cell>
          <cell r="BB185">
            <v>121373602348.67886</v>
          </cell>
          <cell r="BC185">
            <v>146517541181.254</v>
          </cell>
          <cell r="BD185">
            <v>168291357111.73914</v>
          </cell>
          <cell r="BE185">
            <v>176206659722.52399</v>
          </cell>
          <cell r="BF185">
            <v>190906575136.00269</v>
          </cell>
          <cell r="BG185">
            <v>201313497220.91696</v>
          </cell>
          <cell r="BH185">
            <v>178064471137.92081</v>
          </cell>
          <cell r="BI185">
            <v>188838342527.97549</v>
          </cell>
          <cell r="BJ185">
            <v>206556258844.56705</v>
          </cell>
          <cell r="BK185">
            <v>211886686924.48343</v>
          </cell>
          <cell r="BL185">
            <v>213091987153.09232</v>
          </cell>
          <cell r="BM185">
            <v>212569779569.51523</v>
          </cell>
        </row>
        <row r="186">
          <cell r="B186" t="str">
            <v>OED</v>
          </cell>
          <cell r="C186" t="str">
            <v>GDP (current US$)</v>
          </cell>
          <cell r="D186" t="str">
            <v>NY.GDP.MKTP.CD</v>
          </cell>
          <cell r="E186">
            <v>1074536963868.0122</v>
          </cell>
          <cell r="F186">
            <v>1137842040851.957</v>
          </cell>
          <cell r="G186">
            <v>1227852102269.125</v>
          </cell>
          <cell r="H186">
            <v>1323009087447.2466</v>
          </cell>
          <cell r="I186">
            <v>1446027927230.7036</v>
          </cell>
          <cell r="J186">
            <v>1569569743833.125</v>
          </cell>
          <cell r="K186">
            <v>1722667267357.0444</v>
          </cell>
          <cell r="L186">
            <v>1849091101785.865</v>
          </cell>
          <cell r="M186">
            <v>2005166564863.9006</v>
          </cell>
          <cell r="N186">
            <v>2205629988354.1011</v>
          </cell>
          <cell r="O186">
            <v>2404686247123.1484</v>
          </cell>
          <cell r="P186">
            <v>2662824955390.377</v>
          </cell>
          <cell r="Q186">
            <v>3088752725507.6431</v>
          </cell>
          <cell r="R186">
            <v>3731756890937.9272</v>
          </cell>
          <cell r="S186">
            <v>4181384546714.5742</v>
          </cell>
          <cell r="T186">
            <v>4686670470383.0293</v>
          </cell>
          <cell r="U186">
            <v>5082767159669.082</v>
          </cell>
          <cell r="V186">
            <v>5734505486703.2236</v>
          </cell>
          <cell r="W186">
            <v>6889276867199.6377</v>
          </cell>
          <cell r="X186">
            <v>7957663433300.5674</v>
          </cell>
          <cell r="Y186">
            <v>8844458238434.9023</v>
          </cell>
          <cell r="Z186">
            <v>9003003819108.5293</v>
          </cell>
          <cell r="AA186">
            <v>8868580154612.2324</v>
          </cell>
          <cell r="AB186">
            <v>9158864455518.7832</v>
          </cell>
          <cell r="AC186">
            <v>9578521106787.2324</v>
          </cell>
          <cell r="AD186">
            <v>10088394120629.859</v>
          </cell>
          <cell r="AE186">
            <v>12218980287920.994</v>
          </cell>
          <cell r="AF186">
            <v>14150712774129.518</v>
          </cell>
          <cell r="AG186">
            <v>15950200829698.428</v>
          </cell>
          <cell r="AH186">
            <v>16691782038666.244</v>
          </cell>
          <cell r="AI186">
            <v>18803260663340.543</v>
          </cell>
          <cell r="AJ186">
            <v>19902760618767.805</v>
          </cell>
          <cell r="AK186">
            <v>21404714023723.031</v>
          </cell>
          <cell r="AL186">
            <v>21696329187635.883</v>
          </cell>
          <cell r="AM186">
            <v>23279672410310.145</v>
          </cell>
          <cell r="AN186">
            <v>25663192019641.273</v>
          </cell>
          <cell r="AO186">
            <v>25880226257352.723</v>
          </cell>
          <cell r="AP186">
            <v>25485456595205.477</v>
          </cell>
          <cell r="AQ186">
            <v>25745258707977.102</v>
          </cell>
          <cell r="AR186">
            <v>27041441623625.879</v>
          </cell>
          <cell r="AS186">
            <v>27635544739434.926</v>
          </cell>
          <cell r="AT186">
            <v>27374583037446.785</v>
          </cell>
          <cell r="AU186">
            <v>28563009910366.594</v>
          </cell>
          <cell r="AV186">
            <v>31951205451316.277</v>
          </cell>
          <cell r="AW186">
            <v>35572822806797.977</v>
          </cell>
          <cell r="AX186">
            <v>37609340450462.883</v>
          </cell>
          <cell r="AY186">
            <v>39674408824856.523</v>
          </cell>
          <cell r="AZ186">
            <v>43436115388658.289</v>
          </cell>
          <cell r="BA186">
            <v>46122698414753.969</v>
          </cell>
          <cell r="BB186">
            <v>43144826371455.586</v>
          </cell>
          <cell r="BC186">
            <v>45255639867938.539</v>
          </cell>
          <cell r="BD186">
            <v>48674651671113.023</v>
          </cell>
          <cell r="BE186">
            <v>48622412695259.969</v>
          </cell>
          <cell r="BF186">
            <v>49270437358352.695</v>
          </cell>
          <cell r="BG186">
            <v>50278943454195.938</v>
          </cell>
          <cell r="BH186">
            <v>47411160772825.305</v>
          </cell>
          <cell r="BI186">
            <v>48327404425594.172</v>
          </cell>
          <cell r="BJ186">
            <v>50447226919268.789</v>
          </cell>
          <cell r="BK186">
            <v>53371534234287.047</v>
          </cell>
          <cell r="BL186">
            <v>53878159069137.102</v>
          </cell>
          <cell r="BM186">
            <v>52536127270671.688</v>
          </cell>
        </row>
        <row r="187">
          <cell r="B187" t="str">
            <v>OMN</v>
          </cell>
          <cell r="C187" t="str">
            <v>GDP (current US$)</v>
          </cell>
          <cell r="D187" t="str">
            <v>NY.GDP.MKTP.CD</v>
          </cell>
          <cell r="J187">
            <v>63279974.801914006</v>
          </cell>
          <cell r="K187">
            <v>67759973.017978713</v>
          </cell>
          <cell r="L187">
            <v>107151734.04886472</v>
          </cell>
          <cell r="M187">
            <v>188879849.16055229</v>
          </cell>
          <cell r="N187">
            <v>239999808.33615285</v>
          </cell>
          <cell r="O187">
            <v>256319795.30301127</v>
          </cell>
          <cell r="P187">
            <v>301010587.10298359</v>
          </cell>
          <cell r="Q187">
            <v>366883549.30358195</v>
          </cell>
          <cell r="R187">
            <v>483066762.40158874</v>
          </cell>
          <cell r="S187">
            <v>1645917781.2562761</v>
          </cell>
          <cell r="T187">
            <v>2096699195.4160371</v>
          </cell>
          <cell r="U187">
            <v>2560220042.1546612</v>
          </cell>
          <cell r="V187">
            <v>2741169955.8227272</v>
          </cell>
          <cell r="W187">
            <v>2740301397.6268134</v>
          </cell>
          <cell r="X187">
            <v>3733352645.4352999</v>
          </cell>
          <cell r="Y187">
            <v>5981760295.256978</v>
          </cell>
          <cell r="Z187">
            <v>7259120171.5666475</v>
          </cell>
          <cell r="AA187">
            <v>7554719477.5759106</v>
          </cell>
          <cell r="AB187">
            <v>7932541713.7595301</v>
          </cell>
          <cell r="AC187">
            <v>8821430391.5795536</v>
          </cell>
          <cell r="AD187">
            <v>10005645420.460632</v>
          </cell>
          <cell r="AE187">
            <v>7324168966.986433</v>
          </cell>
          <cell r="AF187">
            <v>7811183094.9284782</v>
          </cell>
          <cell r="AG187">
            <v>8386215864.759428</v>
          </cell>
          <cell r="AH187">
            <v>9372171651.4954491</v>
          </cell>
          <cell r="AI187">
            <v>11685045513.654097</v>
          </cell>
          <cell r="AJ187">
            <v>11341482444.733419</v>
          </cell>
          <cell r="AK187">
            <v>12452275682.704811</v>
          </cell>
          <cell r="AL187">
            <v>12493107932.379713</v>
          </cell>
          <cell r="AM187">
            <v>12918855656.697008</v>
          </cell>
          <cell r="AN187">
            <v>13802600780.23407</v>
          </cell>
          <cell r="AO187">
            <v>15277763328.998699</v>
          </cell>
          <cell r="AP187">
            <v>15837451235.370611</v>
          </cell>
          <cell r="AQ187">
            <v>13996914694.408321</v>
          </cell>
          <cell r="AR187">
            <v>15593456176.853056</v>
          </cell>
          <cell r="AS187">
            <v>19507452535.760727</v>
          </cell>
          <cell r="AT187">
            <v>19452000520.156048</v>
          </cell>
          <cell r="AU187">
            <v>20142756046.814045</v>
          </cell>
          <cell r="AV187">
            <v>21633708192.457737</v>
          </cell>
          <cell r="AW187">
            <v>24763712873.86216</v>
          </cell>
          <cell r="AX187">
            <v>31081991677.50325</v>
          </cell>
          <cell r="AY187">
            <v>37215779713.914177</v>
          </cell>
          <cell r="AZ187">
            <v>42085379453.836151</v>
          </cell>
          <cell r="BA187">
            <v>60905452535.760727</v>
          </cell>
          <cell r="BB187">
            <v>48388363589.076721</v>
          </cell>
          <cell r="BC187">
            <v>64993498049.414825</v>
          </cell>
          <cell r="BD187">
            <v>77497529258.777634</v>
          </cell>
          <cell r="BE187">
            <v>87408842652.795822</v>
          </cell>
          <cell r="BF187">
            <v>89936020806.241867</v>
          </cell>
          <cell r="BG187">
            <v>92699089726.918076</v>
          </cell>
          <cell r="BH187">
            <v>78710793237.97139</v>
          </cell>
          <cell r="BI187">
            <v>75128738621.586472</v>
          </cell>
          <cell r="BJ187">
            <v>80856697009.102722</v>
          </cell>
          <cell r="BK187">
            <v>91505851755.526657</v>
          </cell>
          <cell r="BL187">
            <v>88060858257.477234</v>
          </cell>
          <cell r="BM187">
            <v>75909397659.297791</v>
          </cell>
        </row>
        <row r="188">
          <cell r="B188" t="str">
            <v>OSS</v>
          </cell>
          <cell r="C188" t="str">
            <v>GDP (current US$)</v>
          </cell>
          <cell r="D188" t="str">
            <v>NY.GDP.MKTP.CD</v>
          </cell>
          <cell r="O188">
            <v>3136792480.762538</v>
          </cell>
          <cell r="P188">
            <v>3723790335.1926613</v>
          </cell>
          <cell r="Q188">
            <v>4506983784.2674561</v>
          </cell>
          <cell r="R188">
            <v>6529982802.2148209</v>
          </cell>
          <cell r="S188">
            <v>12038470436.904585</v>
          </cell>
          <cell r="T188">
            <v>13438157792.537676</v>
          </cell>
          <cell r="U188">
            <v>16705643657.856001</v>
          </cell>
          <cell r="V188">
            <v>18811847922.442051</v>
          </cell>
          <cell r="W188">
            <v>20754149836.90929</v>
          </cell>
          <cell r="X188">
            <v>26949571910.038628</v>
          </cell>
          <cell r="Y188">
            <v>37433945856.965492</v>
          </cell>
          <cell r="Z188">
            <v>37631523061.372421</v>
          </cell>
          <cell r="AA188">
            <v>35595407219.960648</v>
          </cell>
          <cell r="AB188">
            <v>33626483058.680801</v>
          </cell>
          <cell r="AC188">
            <v>33869280908.774021</v>
          </cell>
          <cell r="AD188">
            <v>32188255618.666744</v>
          </cell>
          <cell r="AE188">
            <v>32597410212.007793</v>
          </cell>
          <cell r="AF188">
            <v>38688149559.656807</v>
          </cell>
          <cell r="AG188">
            <v>43466381093.696579</v>
          </cell>
          <cell r="AH188">
            <v>45513212160.685707</v>
          </cell>
          <cell r="AI188">
            <v>54470069179.18721</v>
          </cell>
          <cell r="AJ188">
            <v>56088598973.77549</v>
          </cell>
          <cell r="AK188">
            <v>61185089378.191887</v>
          </cell>
          <cell r="AL188">
            <v>58270242536.919769</v>
          </cell>
          <cell r="AM188">
            <v>60952773467.573502</v>
          </cell>
          <cell r="AN188">
            <v>69995035765.864655</v>
          </cell>
          <cell r="AO188">
            <v>73779037903.224701</v>
          </cell>
          <cell r="AP188">
            <v>76822131943.545395</v>
          </cell>
          <cell r="AQ188">
            <v>75274017479.78363</v>
          </cell>
          <cell r="AR188">
            <v>81019607839.791275</v>
          </cell>
          <cell r="AS188">
            <v>91702715004.086945</v>
          </cell>
          <cell r="AT188">
            <v>91249698436.27829</v>
          </cell>
          <cell r="AU188">
            <v>98381529622.516434</v>
          </cell>
          <cell r="AV188">
            <v>122230903916.66867</v>
          </cell>
          <cell r="AW188">
            <v>151646041505.87881</v>
          </cell>
          <cell r="AX188">
            <v>183677137343.92484</v>
          </cell>
          <cell r="AY188">
            <v>215631597860.03625</v>
          </cell>
          <cell r="AZ188">
            <v>263863420304.965</v>
          </cell>
          <cell r="BA188">
            <v>322995519907.26501</v>
          </cell>
          <cell r="BB188">
            <v>277194805059.55884</v>
          </cell>
          <cell r="BC188">
            <v>322561398956.71069</v>
          </cell>
          <cell r="BD188">
            <v>396974173386.1579</v>
          </cell>
          <cell r="BE188">
            <v>413999903828.32202</v>
          </cell>
          <cell r="BF188">
            <v>432056568012.84161</v>
          </cell>
          <cell r="BG188">
            <v>446620927907.66479</v>
          </cell>
          <cell r="BH188">
            <v>370450170724.57465</v>
          </cell>
          <cell r="BI188">
            <v>366511615959.01282</v>
          </cell>
          <cell r="BJ188">
            <v>399126295563.39612</v>
          </cell>
          <cell r="BK188">
            <v>443078577997.34991</v>
          </cell>
          <cell r="BL188">
            <v>434119014495.41248</v>
          </cell>
          <cell r="BM188">
            <v>378201169802.00677</v>
          </cell>
        </row>
        <row r="189">
          <cell r="B189" t="str">
            <v>PAK</v>
          </cell>
          <cell r="C189" t="str">
            <v>GDP (current US$)</v>
          </cell>
          <cell r="D189" t="str">
            <v>NY.GDP.MKTP.CD</v>
          </cell>
          <cell r="E189">
            <v>3749265014.6997066</v>
          </cell>
          <cell r="F189">
            <v>4118647627.0474596</v>
          </cell>
          <cell r="G189">
            <v>4310163796.7240658</v>
          </cell>
          <cell r="H189">
            <v>4630827383.4523315</v>
          </cell>
          <cell r="I189">
            <v>5204955900.8819828</v>
          </cell>
          <cell r="J189">
            <v>5929231415.3716927</v>
          </cell>
          <cell r="K189">
            <v>6561108777.8244438</v>
          </cell>
          <cell r="L189">
            <v>7464510709.7858047</v>
          </cell>
          <cell r="M189">
            <v>8041999160.0167999</v>
          </cell>
          <cell r="N189">
            <v>8683116337.6732464</v>
          </cell>
          <cell r="O189">
            <v>10027509449.811005</v>
          </cell>
          <cell r="P189">
            <v>10665896682.06636</v>
          </cell>
          <cell r="Q189">
            <v>9415016359.56604</v>
          </cell>
          <cell r="R189">
            <v>6383429490.2109146</v>
          </cell>
          <cell r="S189">
            <v>8899191919.1919193</v>
          </cell>
          <cell r="T189">
            <v>11230606060.60606</v>
          </cell>
          <cell r="U189">
            <v>13168080808.080807</v>
          </cell>
          <cell r="V189">
            <v>15126060606.060606</v>
          </cell>
          <cell r="W189">
            <v>17811515151.515152</v>
          </cell>
          <cell r="X189">
            <v>19688383838.383839</v>
          </cell>
          <cell r="Y189">
            <v>23654444444.444443</v>
          </cell>
          <cell r="Z189">
            <v>28100606060.60606</v>
          </cell>
          <cell r="AA189">
            <v>30725971563.981041</v>
          </cell>
          <cell r="AB189">
            <v>28691889763.77953</v>
          </cell>
          <cell r="AC189">
            <v>31151825467.497772</v>
          </cell>
          <cell r="AD189">
            <v>31144920844.327175</v>
          </cell>
          <cell r="AE189">
            <v>31899070055.796654</v>
          </cell>
          <cell r="AF189">
            <v>33351529274.686863</v>
          </cell>
          <cell r="AG189">
            <v>38472742808.316719</v>
          </cell>
          <cell r="AH189">
            <v>40171105580.197334</v>
          </cell>
          <cell r="AI189">
            <v>40010423970.457626</v>
          </cell>
          <cell r="AJ189">
            <v>45625336680.204651</v>
          </cell>
          <cell r="AK189">
            <v>48884672605.035622</v>
          </cell>
          <cell r="AL189">
            <v>51809999353.161354</v>
          </cell>
          <cell r="AM189">
            <v>52293471392.586678</v>
          </cell>
          <cell r="AN189">
            <v>60636071684.191795</v>
          </cell>
          <cell r="AO189">
            <v>63320170084.407555</v>
          </cell>
          <cell r="AP189">
            <v>62433340468.022774</v>
          </cell>
          <cell r="AQ189">
            <v>62191955814.347801</v>
          </cell>
          <cell r="AR189">
            <v>62973856843.573921</v>
          </cell>
          <cell r="AS189">
            <v>82017743416.284134</v>
          </cell>
          <cell r="AT189">
            <v>79484403984.884918</v>
          </cell>
          <cell r="AU189">
            <v>79904985384.865219</v>
          </cell>
          <cell r="AV189">
            <v>91760542940.071701</v>
          </cell>
          <cell r="AW189">
            <v>107759683863.12315</v>
          </cell>
          <cell r="AX189">
            <v>120055291992.93773</v>
          </cell>
          <cell r="AY189">
            <v>137264061106.04344</v>
          </cell>
          <cell r="AZ189">
            <v>152385716311.91638</v>
          </cell>
          <cell r="BA189">
            <v>170077814106.3049</v>
          </cell>
          <cell r="BB189">
            <v>168152775283.03162</v>
          </cell>
          <cell r="BC189">
            <v>177165547828.88937</v>
          </cell>
          <cell r="BD189">
            <v>213587517187.66855</v>
          </cell>
          <cell r="BE189">
            <v>224383544087.45175</v>
          </cell>
          <cell r="BF189">
            <v>231218467669.57086</v>
          </cell>
          <cell r="BG189">
            <v>244360858682.7619</v>
          </cell>
          <cell r="BH189">
            <v>270556104886.45572</v>
          </cell>
          <cell r="BI189">
            <v>313629998960.4447</v>
          </cell>
          <cell r="BJ189">
            <v>339205536454.44537</v>
          </cell>
          <cell r="BK189">
            <v>356128167702.89368</v>
          </cell>
          <cell r="BL189">
            <v>320909472926.46075</v>
          </cell>
          <cell r="BM189">
            <v>300425609206.1795</v>
          </cell>
        </row>
        <row r="190">
          <cell r="B190" t="str">
            <v>PAN</v>
          </cell>
          <cell r="C190" t="str">
            <v>GDP (current US$)</v>
          </cell>
          <cell r="D190" t="str">
            <v>NY.GDP.MKTP.CD</v>
          </cell>
          <cell r="E190">
            <v>537147100</v>
          </cell>
          <cell r="F190">
            <v>599026300</v>
          </cell>
          <cell r="G190">
            <v>652120900</v>
          </cell>
          <cell r="H190">
            <v>722784500</v>
          </cell>
          <cell r="I190">
            <v>776137500</v>
          </cell>
          <cell r="J190">
            <v>852485300</v>
          </cell>
          <cell r="K190">
            <v>928833000</v>
          </cell>
          <cell r="L190">
            <v>1034376400.0000001</v>
          </cell>
          <cell r="M190">
            <v>1112791100</v>
          </cell>
          <cell r="N190">
            <v>1221305700</v>
          </cell>
          <cell r="O190">
            <v>1351006400</v>
          </cell>
          <cell r="P190">
            <v>1523917200</v>
          </cell>
          <cell r="Q190">
            <v>1673411700</v>
          </cell>
          <cell r="R190">
            <v>1913793400</v>
          </cell>
          <cell r="S190">
            <v>2188307600</v>
          </cell>
          <cell r="T190">
            <v>2435304100</v>
          </cell>
          <cell r="U190">
            <v>2588106000</v>
          </cell>
          <cell r="V190">
            <v>2738261900</v>
          </cell>
          <cell r="W190">
            <v>3244558600</v>
          </cell>
          <cell r="X190">
            <v>3704551600</v>
          </cell>
          <cell r="Y190">
            <v>4614086400</v>
          </cell>
          <cell r="Z190">
            <v>5222421500</v>
          </cell>
          <cell r="AA190">
            <v>5769767900</v>
          </cell>
          <cell r="AB190">
            <v>5923755900</v>
          </cell>
          <cell r="AC190">
            <v>6183387100</v>
          </cell>
          <cell r="AD190">
            <v>6541517100</v>
          </cell>
          <cell r="AE190">
            <v>6797834200</v>
          </cell>
          <cell r="AF190">
            <v>6827665300</v>
          </cell>
          <cell r="AG190">
            <v>5902783400</v>
          </cell>
          <cell r="AH190">
            <v>5918469800</v>
          </cell>
          <cell r="AI190">
            <v>6433967000</v>
          </cell>
          <cell r="AJ190">
            <v>7074675500</v>
          </cell>
          <cell r="AK190">
            <v>8042337700</v>
          </cell>
          <cell r="AL190">
            <v>8782585400</v>
          </cell>
          <cell r="AM190">
            <v>9365289800</v>
          </cell>
          <cell r="AN190">
            <v>9573813700</v>
          </cell>
          <cell r="AO190">
            <v>9870494000</v>
          </cell>
          <cell r="AP190">
            <v>10677286100</v>
          </cell>
          <cell r="AQ190">
            <v>11575486400</v>
          </cell>
          <cell r="AR190">
            <v>12130252200</v>
          </cell>
          <cell r="AS190">
            <v>12304115000</v>
          </cell>
          <cell r="AT190">
            <v>12502013400</v>
          </cell>
          <cell r="AU190">
            <v>12994310400</v>
          </cell>
          <cell r="AV190">
            <v>13693981200</v>
          </cell>
          <cell r="AW190">
            <v>15013381700</v>
          </cell>
          <cell r="AX190">
            <v>16374393900</v>
          </cell>
          <cell r="AY190">
            <v>18141666300</v>
          </cell>
          <cell r="AZ190">
            <v>21295984200</v>
          </cell>
          <cell r="BA190">
            <v>25155888600</v>
          </cell>
          <cell r="BB190">
            <v>27116635600</v>
          </cell>
          <cell r="BC190">
            <v>29440287600</v>
          </cell>
          <cell r="BD190">
            <v>34686224300</v>
          </cell>
          <cell r="BE190">
            <v>40429700000</v>
          </cell>
          <cell r="BF190">
            <v>45599900000</v>
          </cell>
          <cell r="BG190">
            <v>49921400000</v>
          </cell>
          <cell r="BH190">
            <v>54091800000</v>
          </cell>
          <cell r="BI190">
            <v>57907700000</v>
          </cell>
          <cell r="BJ190">
            <v>62202700000</v>
          </cell>
          <cell r="BK190">
            <v>67294169234.629097</v>
          </cell>
          <cell r="BL190">
            <v>69721787532.978897</v>
          </cell>
          <cell r="BM190">
            <v>57086836942.405197</v>
          </cell>
        </row>
        <row r="191">
          <cell r="B191" t="str">
            <v>PER</v>
          </cell>
          <cell r="C191" t="str">
            <v>GDP (current US$)</v>
          </cell>
          <cell r="D191" t="str">
            <v>NY.GDP.MKTP.CD</v>
          </cell>
          <cell r="E191">
            <v>2571986572.127192</v>
          </cell>
          <cell r="F191">
            <v>2897852693.2749424</v>
          </cell>
          <cell r="G191">
            <v>3284322201.2783122</v>
          </cell>
          <cell r="H191">
            <v>3598272493.3108978</v>
          </cell>
          <cell r="I191">
            <v>4353664866.6798534</v>
          </cell>
          <cell r="J191">
            <v>5163008077.3737135</v>
          </cell>
          <cell r="K191">
            <v>6109048736.6185331</v>
          </cell>
          <cell r="L191">
            <v>6194340079.8786001</v>
          </cell>
          <cell r="M191">
            <v>5736083835.2903376</v>
          </cell>
          <cell r="N191">
            <v>6420909789.8299971</v>
          </cell>
          <cell r="O191">
            <v>7432223176.9362326</v>
          </cell>
          <cell r="P191">
            <v>8289582883.676733</v>
          </cell>
          <cell r="Q191">
            <v>9189413409.2813797</v>
          </cell>
          <cell r="R191">
            <v>10994381895.116135</v>
          </cell>
          <cell r="S191">
            <v>13858441211.469212</v>
          </cell>
          <cell r="T191">
            <v>16931162355.480209</v>
          </cell>
          <cell r="U191">
            <v>16131958850.644405</v>
          </cell>
          <cell r="V191">
            <v>14544913960.506155</v>
          </cell>
          <cell r="W191">
            <v>12491876742.970816</v>
          </cell>
          <cell r="X191">
            <v>15954012439.166182</v>
          </cell>
          <cell r="Y191">
            <v>18136838537.724957</v>
          </cell>
          <cell r="Z191">
            <v>21648214892.882786</v>
          </cell>
          <cell r="AA191">
            <v>21794535621.215958</v>
          </cell>
          <cell r="AB191">
            <v>17345260564.482391</v>
          </cell>
          <cell r="AC191">
            <v>17600400384.507301</v>
          </cell>
          <cell r="AD191">
            <v>15078736875.386955</v>
          </cell>
          <cell r="AE191">
            <v>21859448586.485031</v>
          </cell>
          <cell r="AF191">
            <v>36889706592.684326</v>
          </cell>
          <cell r="AG191">
            <v>15439408447.200001</v>
          </cell>
          <cell r="AH191">
            <v>22499559086.058689</v>
          </cell>
          <cell r="AI191">
            <v>26410386669.353191</v>
          </cell>
          <cell r="AJ191">
            <v>34341465998.200283</v>
          </cell>
          <cell r="AK191">
            <v>35966302303.262955</v>
          </cell>
          <cell r="AL191">
            <v>34832077220.853653</v>
          </cell>
          <cell r="AM191">
            <v>44882079766.891273</v>
          </cell>
          <cell r="AN191">
            <v>53312793687.383636</v>
          </cell>
          <cell r="AO191">
            <v>55252414130.301918</v>
          </cell>
          <cell r="AP191">
            <v>58147522522.522522</v>
          </cell>
          <cell r="AQ191">
            <v>55501467877.381035</v>
          </cell>
          <cell r="AR191">
            <v>50187324567.882996</v>
          </cell>
          <cell r="AS191">
            <v>51744749133.21299</v>
          </cell>
          <cell r="AT191">
            <v>52030158775.405487</v>
          </cell>
          <cell r="AU191">
            <v>54777553515.080879</v>
          </cell>
          <cell r="AV191">
            <v>58731030121.867096</v>
          </cell>
          <cell r="AW191">
            <v>66768703497.568687</v>
          </cell>
          <cell r="AX191">
            <v>76060606060.606064</v>
          </cell>
          <cell r="AY191">
            <v>88643193061.748001</v>
          </cell>
          <cell r="AZ191">
            <v>102170981144.13551</v>
          </cell>
          <cell r="BA191">
            <v>120550599815.44141</v>
          </cell>
          <cell r="BB191">
            <v>120822986521.47932</v>
          </cell>
          <cell r="BC191">
            <v>147527631520.72919</v>
          </cell>
          <cell r="BD191">
            <v>171761737046.58508</v>
          </cell>
          <cell r="BE191">
            <v>192649991136.08969</v>
          </cell>
          <cell r="BF191">
            <v>201175541637.44107</v>
          </cell>
          <cell r="BG191">
            <v>200786240836.8179</v>
          </cell>
          <cell r="BH191">
            <v>189802961890.09708</v>
          </cell>
          <cell r="BI191">
            <v>191898127860.84256</v>
          </cell>
          <cell r="BJ191">
            <v>211007952315.88757</v>
          </cell>
          <cell r="BK191">
            <v>222597030191.04111</v>
          </cell>
          <cell r="BL191">
            <v>228325852220.76141</v>
          </cell>
          <cell r="BM191">
            <v>201947603715.40918</v>
          </cell>
        </row>
        <row r="192">
          <cell r="B192" t="str">
            <v>PHL</v>
          </cell>
          <cell r="C192" t="str">
            <v>GDP (current US$)</v>
          </cell>
          <cell r="D192" t="str">
            <v>NY.GDP.MKTP.CD</v>
          </cell>
          <cell r="E192">
            <v>7515892289.1740007</v>
          </cell>
          <cell r="F192">
            <v>8171194489.334013</v>
          </cell>
          <cell r="G192">
            <v>4954593633.204215</v>
          </cell>
          <cell r="H192">
            <v>5505023032.5247688</v>
          </cell>
          <cell r="I192">
            <v>5953755756.4228697</v>
          </cell>
          <cell r="J192">
            <v>6517349192.6092196</v>
          </cell>
          <cell r="K192">
            <v>7189017882.3466272</v>
          </cell>
          <cell r="L192">
            <v>7724873929.3840675</v>
          </cell>
          <cell r="M192">
            <v>8632749263.067955</v>
          </cell>
          <cell r="N192">
            <v>9571800645.4466095</v>
          </cell>
          <cell r="O192">
            <v>7559115517.559494</v>
          </cell>
          <cell r="P192">
            <v>8375075197.0834761</v>
          </cell>
          <cell r="Q192">
            <v>9067815975.4069824</v>
          </cell>
          <cell r="R192">
            <v>11412449173.94117</v>
          </cell>
          <cell r="S192">
            <v>15607882556.6329</v>
          </cell>
          <cell r="T192">
            <v>16875240685.83662</v>
          </cell>
          <cell r="U192">
            <v>19381054331.58765</v>
          </cell>
          <cell r="V192">
            <v>22283109806.362183</v>
          </cell>
          <cell r="W192">
            <v>25762223399.690937</v>
          </cell>
          <cell r="X192">
            <v>31218296296.361027</v>
          </cell>
          <cell r="Y192">
            <v>36848079268.51709</v>
          </cell>
          <cell r="Z192">
            <v>40499388873.826637</v>
          </cell>
          <cell r="AA192">
            <v>42206011278.058548</v>
          </cell>
          <cell r="AB192">
            <v>37759181029.973221</v>
          </cell>
          <cell r="AC192">
            <v>35730184921.182213</v>
          </cell>
          <cell r="AD192">
            <v>34961486974.854111</v>
          </cell>
          <cell r="AE192">
            <v>33987206739.206738</v>
          </cell>
          <cell r="AF192">
            <v>37791488666.07431</v>
          </cell>
          <cell r="AG192">
            <v>43152128958.611595</v>
          </cell>
          <cell r="AH192">
            <v>48513772976.711494</v>
          </cell>
          <cell r="AI192">
            <v>50508286641.574623</v>
          </cell>
          <cell r="AJ192">
            <v>51784144314.552338</v>
          </cell>
          <cell r="AK192">
            <v>60422329031.627892</v>
          </cell>
          <cell r="AL192">
            <v>62036529909.681671</v>
          </cell>
          <cell r="AM192">
            <v>73159337838.400452</v>
          </cell>
          <cell r="AN192">
            <v>84644329824.715927</v>
          </cell>
          <cell r="AO192">
            <v>94648084429.034058</v>
          </cell>
          <cell r="AP192">
            <v>94106316500.67775</v>
          </cell>
          <cell r="AQ192">
            <v>74492416329.914246</v>
          </cell>
          <cell r="AR192">
            <v>85640170314.824493</v>
          </cell>
          <cell r="AS192">
            <v>83669788254.727921</v>
          </cell>
          <cell r="AT192">
            <v>78921234457.548737</v>
          </cell>
          <cell r="AU192">
            <v>84307346432.126389</v>
          </cell>
          <cell r="AV192">
            <v>87039092438.964447</v>
          </cell>
          <cell r="AW192">
            <v>95002000250.416687</v>
          </cell>
          <cell r="AX192">
            <v>107419977968.18546</v>
          </cell>
          <cell r="AY192">
            <v>127652927611.90369</v>
          </cell>
          <cell r="AZ192">
            <v>155980408072.5957</v>
          </cell>
          <cell r="BA192">
            <v>181624627927.89114</v>
          </cell>
          <cell r="BB192">
            <v>175974754207.57468</v>
          </cell>
          <cell r="BC192">
            <v>208368892319.28061</v>
          </cell>
          <cell r="BD192">
            <v>234216730703.65018</v>
          </cell>
          <cell r="BE192">
            <v>261920542606.62112</v>
          </cell>
          <cell r="BF192">
            <v>283902829721.26074</v>
          </cell>
          <cell r="BG192">
            <v>297483553299.59253</v>
          </cell>
          <cell r="BH192">
            <v>306445871631.96869</v>
          </cell>
          <cell r="BI192">
            <v>318627003965.98853</v>
          </cell>
          <cell r="BJ192">
            <v>328480738147.10028</v>
          </cell>
          <cell r="BK192">
            <v>346841896890.48932</v>
          </cell>
          <cell r="BL192">
            <v>376823404772.83728</v>
          </cell>
          <cell r="BM192">
            <v>361751145432.40411</v>
          </cell>
        </row>
        <row r="193">
          <cell r="B193" t="str">
            <v>PLW</v>
          </cell>
          <cell r="C193" t="str">
            <v>GDP (current US$)</v>
          </cell>
          <cell r="D193" t="str">
            <v>NY.GDP.MKTP.CD</v>
          </cell>
          <cell r="AS193">
            <v>146297500</v>
          </cell>
          <cell r="AT193">
            <v>156907900</v>
          </cell>
          <cell r="AU193">
            <v>163184900</v>
          </cell>
          <cell r="AV193">
            <v>153963200</v>
          </cell>
          <cell r="AW193">
            <v>165186200</v>
          </cell>
          <cell r="AX193">
            <v>190452900</v>
          </cell>
          <cell r="AY193">
            <v>192382400</v>
          </cell>
          <cell r="AZ193">
            <v>198897700</v>
          </cell>
          <cell r="BA193">
            <v>198283900</v>
          </cell>
          <cell r="BB193">
            <v>187522800</v>
          </cell>
          <cell r="BC193">
            <v>185943000</v>
          </cell>
          <cell r="BD193">
            <v>196911100</v>
          </cell>
          <cell r="BE193">
            <v>212397800</v>
          </cell>
          <cell r="BF193">
            <v>221117200</v>
          </cell>
          <cell r="BG193">
            <v>241669800</v>
          </cell>
          <cell r="BH193">
            <v>280457700</v>
          </cell>
          <cell r="BI193">
            <v>298300000</v>
          </cell>
          <cell r="BJ193">
            <v>285600000</v>
          </cell>
          <cell r="BK193">
            <v>284900000</v>
          </cell>
          <cell r="BL193">
            <v>278900000</v>
          </cell>
          <cell r="BM193">
            <v>251900000</v>
          </cell>
        </row>
        <row r="194">
          <cell r="B194" t="str">
            <v>PNG</v>
          </cell>
          <cell r="C194" t="str">
            <v>GDP (current US$)</v>
          </cell>
          <cell r="D194" t="str">
            <v>NY.GDP.MKTP.CD</v>
          </cell>
          <cell r="E194">
            <v>230496036.90702546</v>
          </cell>
          <cell r="F194">
            <v>244832039.20250615</v>
          </cell>
          <cell r="G194">
            <v>261184041.8207888</v>
          </cell>
          <cell r="H194">
            <v>275968044.18800324</v>
          </cell>
          <cell r="I194">
            <v>305312048.88656533</v>
          </cell>
          <cell r="J194">
            <v>344176055.10946995</v>
          </cell>
          <cell r="K194">
            <v>390992062.60564911</v>
          </cell>
          <cell r="L194">
            <v>441728182.72951669</v>
          </cell>
          <cell r="M194">
            <v>485184189.68769252</v>
          </cell>
          <cell r="N194">
            <v>551263864.26837003</v>
          </cell>
          <cell r="O194">
            <v>645568215.36838269</v>
          </cell>
          <cell r="P194">
            <v>717750057.55941498</v>
          </cell>
          <cell r="Q194">
            <v>858761953.08401942</v>
          </cell>
          <cell r="R194">
            <v>1299079580.2364893</v>
          </cell>
          <cell r="S194">
            <v>1467417948.863323</v>
          </cell>
          <cell r="T194">
            <v>1356603017.9038131</v>
          </cell>
          <cell r="U194">
            <v>1511842283.9237044</v>
          </cell>
          <cell r="V194">
            <v>1640745929.6916845</v>
          </cell>
          <cell r="W194">
            <v>1947878833.3714836</v>
          </cell>
          <cell r="X194">
            <v>2293758902.8478928</v>
          </cell>
          <cell r="Y194">
            <v>2545809091.7112927</v>
          </cell>
          <cell r="Z194">
            <v>2498188995.0082121</v>
          </cell>
          <cell r="AA194">
            <v>2368718617.4377513</v>
          </cell>
          <cell r="AB194">
            <v>2562352064.8559351</v>
          </cell>
          <cell r="AC194">
            <v>2552663565.3267312</v>
          </cell>
          <cell r="AD194">
            <v>2423338768.3427725</v>
          </cell>
          <cell r="AE194">
            <v>2647995147.9672666</v>
          </cell>
          <cell r="AF194">
            <v>3143851216.957829</v>
          </cell>
          <cell r="AG194">
            <v>3656179989.101006</v>
          </cell>
          <cell r="AH194">
            <v>3546470500.9038801</v>
          </cell>
          <cell r="AI194">
            <v>3219730364.996233</v>
          </cell>
          <cell r="AJ194">
            <v>3787394957.9831934</v>
          </cell>
          <cell r="AK194">
            <v>4377980510.0559816</v>
          </cell>
          <cell r="AL194">
            <v>4974550286.1815205</v>
          </cell>
          <cell r="AM194">
            <v>5502786069.651742</v>
          </cell>
          <cell r="AN194">
            <v>4636057476.4256849</v>
          </cell>
          <cell r="AO194">
            <v>5155311077.3899841</v>
          </cell>
          <cell r="AP194">
            <v>4936615298.7936687</v>
          </cell>
          <cell r="AQ194">
            <v>3789443014.6166177</v>
          </cell>
          <cell r="AR194">
            <v>3477038204.0173297</v>
          </cell>
          <cell r="AS194">
            <v>3521339699.0740738</v>
          </cell>
          <cell r="AT194">
            <v>3081024212.4292445</v>
          </cell>
          <cell r="AU194">
            <v>2999511040.1976428</v>
          </cell>
          <cell r="AV194">
            <v>3536411824.2958045</v>
          </cell>
          <cell r="AW194">
            <v>3927157866.9646463</v>
          </cell>
          <cell r="AX194">
            <v>4865892972.2759514</v>
          </cell>
          <cell r="AY194">
            <v>8354911621.9794102</v>
          </cell>
          <cell r="AZ194">
            <v>9545029480.8222313</v>
          </cell>
          <cell r="BA194">
            <v>11670891359.727135</v>
          </cell>
          <cell r="BB194">
            <v>11619455043.476274</v>
          </cell>
          <cell r="BC194">
            <v>14250785801.339975</v>
          </cell>
          <cell r="BD194">
            <v>17985138449.652222</v>
          </cell>
          <cell r="BE194">
            <v>21295165200.838337</v>
          </cell>
          <cell r="BF194">
            <v>21261338064.878304</v>
          </cell>
          <cell r="BG194">
            <v>23210823987.307961</v>
          </cell>
          <cell r="BH194">
            <v>21723439625.730011</v>
          </cell>
          <cell r="BI194">
            <v>20758874952.580463</v>
          </cell>
          <cell r="BJ194">
            <v>22742696407.509262</v>
          </cell>
          <cell r="BK194">
            <v>24109780113.230686</v>
          </cell>
          <cell r="BL194">
            <v>24751069237.997746</v>
          </cell>
          <cell r="BM194">
            <v>23848442440.266956</v>
          </cell>
        </row>
        <row r="195">
          <cell r="B195" t="str">
            <v>POL</v>
          </cell>
          <cell r="C195" t="str">
            <v>GDP (current US$)</v>
          </cell>
          <cell r="D195" t="str">
            <v>NY.GDP.MKTP.CD</v>
          </cell>
          <cell r="AI195">
            <v>65977748210.526321</v>
          </cell>
          <cell r="AJ195">
            <v>85500934319.173508</v>
          </cell>
          <cell r="AK195">
            <v>94337047232.886551</v>
          </cell>
          <cell r="AL195">
            <v>96043157272.862045</v>
          </cell>
          <cell r="AM195">
            <v>110803635287.62108</v>
          </cell>
          <cell r="AN195">
            <v>142293761469.15118</v>
          </cell>
          <cell r="AO195">
            <v>160193242090.42691</v>
          </cell>
          <cell r="AP195">
            <v>159358194732.0939</v>
          </cell>
          <cell r="AQ195">
            <v>174685791563.56104</v>
          </cell>
          <cell r="AR195">
            <v>170030647848.03387</v>
          </cell>
          <cell r="AS195">
            <v>172220451786.95721</v>
          </cell>
          <cell r="AT195">
            <v>190905493539.16806</v>
          </cell>
          <cell r="AU195">
            <v>199070432431.10776</v>
          </cell>
          <cell r="AV195">
            <v>217828661056.93512</v>
          </cell>
          <cell r="AW195">
            <v>255107275407.42307</v>
          </cell>
          <cell r="AX195">
            <v>306145913284.46576</v>
          </cell>
          <cell r="AY195">
            <v>344626630395.37714</v>
          </cell>
          <cell r="AZ195">
            <v>429020755432.72101</v>
          </cell>
          <cell r="BA195">
            <v>533599853342.51019</v>
          </cell>
          <cell r="BB195">
            <v>439731636116.94934</v>
          </cell>
          <cell r="BC195">
            <v>475696613935.59515</v>
          </cell>
          <cell r="BD195">
            <v>524374222547.90118</v>
          </cell>
          <cell r="BE195">
            <v>495230574356.74292</v>
          </cell>
          <cell r="BF195">
            <v>515762008468.81091</v>
          </cell>
          <cell r="BG195">
            <v>539080532037.14166</v>
          </cell>
          <cell r="BH195">
            <v>477111287969.22668</v>
          </cell>
          <cell r="BI195">
            <v>470024559638.49603</v>
          </cell>
          <cell r="BJ195">
            <v>524641206562.00433</v>
          </cell>
          <cell r="BK195">
            <v>588779850763.48682</v>
          </cell>
          <cell r="BL195">
            <v>596058473058.76611</v>
          </cell>
          <cell r="BM195">
            <v>599442783603.18689</v>
          </cell>
        </row>
        <row r="196">
          <cell r="B196" t="str">
            <v>PRE</v>
          </cell>
          <cell r="C196" t="str">
            <v>GDP (current US$)</v>
          </cell>
          <cell r="D196" t="str">
            <v>NY.GDP.MKTP.CD</v>
          </cell>
          <cell r="E196">
            <v>20753285598.463833</v>
          </cell>
          <cell r="F196">
            <v>21438148383.207916</v>
          </cell>
          <cell r="G196">
            <v>23419301225.642258</v>
          </cell>
          <cell r="H196">
            <v>27350179503.842468</v>
          </cell>
          <cell r="I196">
            <v>25448359289.935982</v>
          </cell>
          <cell r="J196">
            <v>28693503052.405945</v>
          </cell>
          <cell r="K196">
            <v>31531025978.425846</v>
          </cell>
          <cell r="L196">
            <v>29711210460.324181</v>
          </cell>
          <cell r="M196">
            <v>31366965476.564243</v>
          </cell>
          <cell r="N196">
            <v>35545604544.034691</v>
          </cell>
          <cell r="O196">
            <v>43519848651.786346</v>
          </cell>
          <cell r="P196">
            <v>42419967120.349091</v>
          </cell>
          <cell r="Q196">
            <v>49357021176.551346</v>
          </cell>
          <cell r="R196">
            <v>60920765155.420395</v>
          </cell>
          <cell r="S196">
            <v>86057756449.217285</v>
          </cell>
          <cell r="T196">
            <v>98342389193.69606</v>
          </cell>
          <cell r="U196">
            <v>115511133085.00412</v>
          </cell>
          <cell r="V196">
            <v>127667415881.69691</v>
          </cell>
          <cell r="W196">
            <v>144095273016.33539</v>
          </cell>
          <cell r="X196">
            <v>180666779617.84634</v>
          </cell>
          <cell r="Y196">
            <v>223624560625.92633</v>
          </cell>
          <cell r="Z196">
            <v>311221167301.96198</v>
          </cell>
          <cell r="AA196">
            <v>290607941422.12354</v>
          </cell>
          <cell r="AB196">
            <v>232587271032.74768</v>
          </cell>
          <cell r="AC196">
            <v>212921069101.94739</v>
          </cell>
          <cell r="AD196">
            <v>214701499607.543</v>
          </cell>
          <cell r="AE196">
            <v>207046319398.62201</v>
          </cell>
          <cell r="AF196">
            <v>226768534647.02954</v>
          </cell>
          <cell r="AG196">
            <v>238039780716.8168</v>
          </cell>
          <cell r="AH196">
            <v>241069993446.62689</v>
          </cell>
          <cell r="AI196">
            <v>394420886654.35687</v>
          </cell>
          <cell r="AJ196">
            <v>211358138047.28711</v>
          </cell>
          <cell r="AK196">
            <v>172593311731.32227</v>
          </cell>
          <cell r="AL196">
            <v>153008614062.50067</v>
          </cell>
          <cell r="AM196">
            <v>135924691115.95396</v>
          </cell>
          <cell r="AN196">
            <v>174758803193.9267</v>
          </cell>
          <cell r="AO196">
            <v>194165113279.81055</v>
          </cell>
          <cell r="AP196">
            <v>213951798021.82733</v>
          </cell>
          <cell r="AQ196">
            <v>220387557174.75061</v>
          </cell>
          <cell r="AR196">
            <v>240832782326.47781</v>
          </cell>
          <cell r="AS196">
            <v>278678326342.52814</v>
          </cell>
          <cell r="AT196">
            <v>266344271362.12704</v>
          </cell>
          <cell r="AU196">
            <v>305714135441.12274</v>
          </cell>
          <cell r="AV196">
            <v>332450589560.5683</v>
          </cell>
          <cell r="AW196">
            <v>414233839145.69037</v>
          </cell>
          <cell r="AX196">
            <v>516904887534.49951</v>
          </cell>
          <cell r="AY196">
            <v>652732381891.40857</v>
          </cell>
          <cell r="AZ196">
            <v>789891756091.78845</v>
          </cell>
          <cell r="BA196">
            <v>986047738377.776</v>
          </cell>
          <cell r="BB196">
            <v>902165613053.19092</v>
          </cell>
          <cell r="BC196">
            <v>1060580608713.1337</v>
          </cell>
          <cell r="BD196">
            <v>1235597698970.2078</v>
          </cell>
          <cell r="BE196">
            <v>1341797607183.5496</v>
          </cell>
          <cell r="BF196">
            <v>1471440063511.4038</v>
          </cell>
          <cell r="BG196">
            <v>1562109741135.4189</v>
          </cell>
          <cell r="BH196">
            <v>1334011121882.8621</v>
          </cell>
          <cell r="BI196">
            <v>1217513931539.1338</v>
          </cell>
          <cell r="BJ196">
            <v>1294933204784.5894</v>
          </cell>
          <cell r="BK196">
            <v>1348307586808.1531</v>
          </cell>
          <cell r="BL196">
            <v>1421160801515.2646</v>
          </cell>
          <cell r="BM196">
            <v>1308382294199.1643</v>
          </cell>
        </row>
        <row r="197">
          <cell r="B197" t="str">
            <v>PRI</v>
          </cell>
          <cell r="C197" t="str">
            <v>GDP (current US$)</v>
          </cell>
          <cell r="D197" t="str">
            <v>NY.GDP.MKTP.CD</v>
          </cell>
          <cell r="E197">
            <v>1691900000</v>
          </cell>
          <cell r="F197">
            <v>1865100000</v>
          </cell>
          <cell r="G197">
            <v>2094400000</v>
          </cell>
          <cell r="H197">
            <v>2333600000</v>
          </cell>
          <cell r="I197">
            <v>2570500000</v>
          </cell>
          <cell r="J197">
            <v>2881500000</v>
          </cell>
          <cell r="K197">
            <v>3170500000</v>
          </cell>
          <cell r="L197">
            <v>3532700000</v>
          </cell>
          <cell r="M197">
            <v>3941700000</v>
          </cell>
          <cell r="N197">
            <v>4460700000</v>
          </cell>
          <cell r="O197">
            <v>5034700000</v>
          </cell>
          <cell r="P197">
            <v>5646800000</v>
          </cell>
          <cell r="Q197">
            <v>6328900000</v>
          </cell>
          <cell r="R197">
            <v>7002400000</v>
          </cell>
          <cell r="S197">
            <v>7684800000</v>
          </cell>
          <cell r="T197">
            <v>8198299999.999999</v>
          </cell>
          <cell r="U197">
            <v>8968600000</v>
          </cell>
          <cell r="V197">
            <v>9910900000</v>
          </cell>
          <cell r="W197">
            <v>11165000000</v>
          </cell>
          <cell r="X197">
            <v>12750000000</v>
          </cell>
          <cell r="Y197">
            <v>14436100000</v>
          </cell>
          <cell r="Z197">
            <v>15955700000</v>
          </cell>
          <cell r="AA197">
            <v>16764200000</v>
          </cell>
          <cell r="AB197">
            <v>17276600000</v>
          </cell>
          <cell r="AC197">
            <v>19162600000</v>
          </cell>
          <cell r="AD197">
            <v>20289200000</v>
          </cell>
          <cell r="AE197">
            <v>22009300000</v>
          </cell>
          <cell r="AF197">
            <v>24025800000</v>
          </cell>
          <cell r="AG197">
            <v>26385800000</v>
          </cell>
          <cell r="AH197">
            <v>28161200000</v>
          </cell>
          <cell r="AI197">
            <v>30603919000</v>
          </cell>
          <cell r="AJ197">
            <v>32287031000</v>
          </cell>
          <cell r="AK197">
            <v>34630430000</v>
          </cell>
          <cell r="AL197">
            <v>36922456000</v>
          </cell>
          <cell r="AM197">
            <v>39690630000</v>
          </cell>
          <cell r="AN197">
            <v>42647331000</v>
          </cell>
          <cell r="AO197">
            <v>45340835000</v>
          </cell>
          <cell r="AP197">
            <v>48187039000</v>
          </cell>
          <cell r="AQ197">
            <v>54086400000</v>
          </cell>
          <cell r="AR197">
            <v>57841000000</v>
          </cell>
          <cell r="AS197">
            <v>61701800000</v>
          </cell>
          <cell r="AT197">
            <v>69208400000</v>
          </cell>
          <cell r="AU197">
            <v>71623500000</v>
          </cell>
          <cell r="AV197">
            <v>74827400000</v>
          </cell>
          <cell r="AW197">
            <v>80322313000</v>
          </cell>
          <cell r="AX197">
            <v>83914521300</v>
          </cell>
          <cell r="AY197">
            <v>87276164400</v>
          </cell>
          <cell r="AZ197">
            <v>89524131600</v>
          </cell>
          <cell r="BA197">
            <v>93639300000</v>
          </cell>
          <cell r="BB197">
            <v>96385600000</v>
          </cell>
          <cell r="BC197">
            <v>98381300000</v>
          </cell>
          <cell r="BD197">
            <v>100351700000</v>
          </cell>
          <cell r="BE197">
            <v>101564800000</v>
          </cell>
          <cell r="BF197">
            <v>102450000000</v>
          </cell>
          <cell r="BG197">
            <v>102445800000</v>
          </cell>
          <cell r="BH197">
            <v>103375500000</v>
          </cell>
          <cell r="BI197">
            <v>104336700000</v>
          </cell>
          <cell r="BJ197">
            <v>103445500000</v>
          </cell>
          <cell r="BK197">
            <v>100958100000</v>
          </cell>
          <cell r="BL197">
            <v>105126400000</v>
          </cell>
          <cell r="BM197">
            <v>103130900000</v>
          </cell>
        </row>
        <row r="198">
          <cell r="B198" t="str">
            <v>PRK</v>
          </cell>
          <cell r="C198" t="str">
            <v>GDP (current US$)</v>
          </cell>
          <cell r="D198" t="str">
            <v>NY.GDP.MKTP.CD</v>
          </cell>
        </row>
        <row r="199">
          <cell r="B199" t="str">
            <v>PRT</v>
          </cell>
          <cell r="C199" t="str">
            <v>GDP (current US$)</v>
          </cell>
          <cell r="D199" t="str">
            <v>NY.GDP.MKTP.CD</v>
          </cell>
          <cell r="E199">
            <v>3193200404.3729734</v>
          </cell>
          <cell r="F199">
            <v>3417516639.3759632</v>
          </cell>
          <cell r="G199">
            <v>3668222357.6570182</v>
          </cell>
          <cell r="H199">
            <v>3905734459.7269282</v>
          </cell>
          <cell r="I199">
            <v>4235608177.6710229</v>
          </cell>
          <cell r="J199">
            <v>4687464054.834548</v>
          </cell>
          <cell r="K199">
            <v>5135387845.971077</v>
          </cell>
          <cell r="L199">
            <v>5740241165.634326</v>
          </cell>
          <cell r="M199">
            <v>6354262628.3353748</v>
          </cell>
          <cell r="N199">
            <v>6969025825.628685</v>
          </cell>
          <cell r="O199">
            <v>8108235704.3235703</v>
          </cell>
          <cell r="P199">
            <v>9201604240.2826862</v>
          </cell>
          <cell r="Q199">
            <v>11239117865.085249</v>
          </cell>
          <cell r="R199">
            <v>15090564186.426819</v>
          </cell>
          <cell r="S199">
            <v>17512391475.927387</v>
          </cell>
          <cell r="T199">
            <v>19347607843.137253</v>
          </cell>
          <cell r="U199">
            <v>20332831564.98674</v>
          </cell>
          <cell r="V199">
            <v>21439523310.633842</v>
          </cell>
          <cell r="W199">
            <v>23487614051.094891</v>
          </cell>
          <cell r="X199">
            <v>26622819672.131149</v>
          </cell>
          <cell r="Y199">
            <v>32896519823.788544</v>
          </cell>
          <cell r="Z199">
            <v>31977276872.964169</v>
          </cell>
          <cell r="AA199">
            <v>30527754793.138245</v>
          </cell>
          <cell r="AB199">
            <v>27239650741.947159</v>
          </cell>
          <cell r="AC199">
            <v>25217969049.575459</v>
          </cell>
          <cell r="AD199">
            <v>27115807742.087303</v>
          </cell>
          <cell r="AE199">
            <v>38745901353.70594</v>
          </cell>
          <cell r="AF199">
            <v>48182925857.407143</v>
          </cell>
          <cell r="AG199">
            <v>56347250696.37883</v>
          </cell>
          <cell r="AH199">
            <v>60594092182.327477</v>
          </cell>
          <cell r="AI199">
            <v>78713860216.565887</v>
          </cell>
          <cell r="AJ199">
            <v>89233599278.479248</v>
          </cell>
          <cell r="AK199">
            <v>107592098307.09831</v>
          </cell>
          <cell r="AL199">
            <v>95009751901.259186</v>
          </cell>
          <cell r="AM199">
            <v>99688641304.347824</v>
          </cell>
          <cell r="AN199">
            <v>118122007430.01193</v>
          </cell>
          <cell r="AO199">
            <v>122630089680.27034</v>
          </cell>
          <cell r="AP199">
            <v>117016535162.95026</v>
          </cell>
          <cell r="AQ199">
            <v>123946327916.29564</v>
          </cell>
          <cell r="AR199">
            <v>127470385557.18367</v>
          </cell>
          <cell r="AS199">
            <v>118605192877.38849</v>
          </cell>
          <cell r="AT199">
            <v>121604107164.9966</v>
          </cell>
          <cell r="AU199">
            <v>134795565549.41945</v>
          </cell>
          <cell r="AV199">
            <v>165226175536.7926</v>
          </cell>
          <cell r="AW199">
            <v>189382122532.16882</v>
          </cell>
          <cell r="AX199">
            <v>197253876704.9213</v>
          </cell>
          <cell r="AY199">
            <v>208756449275.84793</v>
          </cell>
          <cell r="AZ199">
            <v>240496147317.38077</v>
          </cell>
          <cell r="BA199">
            <v>263416394624.08353</v>
          </cell>
          <cell r="BB199">
            <v>244667762835.54318</v>
          </cell>
          <cell r="BC199">
            <v>238113003233.28946</v>
          </cell>
          <cell r="BD199">
            <v>245117990242.24927</v>
          </cell>
          <cell r="BE199">
            <v>216224240577.95746</v>
          </cell>
          <cell r="BF199">
            <v>226433858005.71579</v>
          </cell>
          <cell r="BG199">
            <v>229901964221.88062</v>
          </cell>
          <cell r="BH199">
            <v>199394066525.44012</v>
          </cell>
          <cell r="BI199">
            <v>206426152308.93655</v>
          </cell>
          <cell r="BJ199">
            <v>221357874718.93179</v>
          </cell>
          <cell r="BK199">
            <v>242313116577.96255</v>
          </cell>
          <cell r="BL199">
            <v>239986922638.89728</v>
          </cell>
          <cell r="BM199">
            <v>229031860520.77338</v>
          </cell>
        </row>
        <row r="200">
          <cell r="B200" t="str">
            <v>PRY</v>
          </cell>
          <cell r="C200" t="str">
            <v>GDP (current US$)</v>
          </cell>
          <cell r="D200" t="str">
            <v>NY.GDP.MKTP.CD</v>
          </cell>
          <cell r="J200">
            <v>443587301.58730161</v>
          </cell>
          <cell r="K200">
            <v>465888888.8888889</v>
          </cell>
          <cell r="L200">
            <v>492674603.17460316</v>
          </cell>
          <cell r="M200">
            <v>517650793.65079367</v>
          </cell>
          <cell r="N200">
            <v>556293650.79365075</v>
          </cell>
          <cell r="O200">
            <v>594611111.11111116</v>
          </cell>
          <cell r="P200">
            <v>664571428.57142854</v>
          </cell>
          <cell r="Q200">
            <v>769039682.53968251</v>
          </cell>
          <cell r="R200">
            <v>995531746.03174603</v>
          </cell>
          <cell r="S200">
            <v>1333475396.8253968</v>
          </cell>
          <cell r="T200">
            <v>1511420634.920635</v>
          </cell>
          <cell r="U200">
            <v>1698960317.4603174</v>
          </cell>
          <cell r="V200">
            <v>2092158730.1587303</v>
          </cell>
          <cell r="W200">
            <v>2559857142.8571429</v>
          </cell>
          <cell r="X200">
            <v>3416777777.7777777</v>
          </cell>
          <cell r="Y200">
            <v>4448087301.5873013</v>
          </cell>
          <cell r="Z200">
            <v>5624515873.015873</v>
          </cell>
          <cell r="AA200">
            <v>5419411764.7058821</v>
          </cell>
          <cell r="AB200">
            <v>5673248726.1643839</v>
          </cell>
          <cell r="AC200">
            <v>4502462807.139926</v>
          </cell>
          <cell r="AD200">
            <v>3282449235.7612891</v>
          </cell>
          <cell r="AE200">
            <v>3723993942.7908778</v>
          </cell>
          <cell r="AF200">
            <v>3971044723.8023953</v>
          </cell>
          <cell r="AG200">
            <v>4255683528.3333335</v>
          </cell>
          <cell r="AH200">
            <v>4757732199.9621286</v>
          </cell>
          <cell r="AI200">
            <v>5812114523.0118723</v>
          </cell>
          <cell r="AJ200">
            <v>6984367762.9037123</v>
          </cell>
          <cell r="AK200">
            <v>7157424031.0604544</v>
          </cell>
          <cell r="AL200">
            <v>7249533620.3061399</v>
          </cell>
          <cell r="AM200">
            <v>7870982004.8195047</v>
          </cell>
          <cell r="AN200">
            <v>9062131475.0231781</v>
          </cell>
          <cell r="AO200">
            <v>9788391780.52421</v>
          </cell>
          <cell r="AP200">
            <v>9965225678.05093</v>
          </cell>
          <cell r="AQ200">
            <v>9260481572.4246197</v>
          </cell>
          <cell r="AR200">
            <v>8837070235.5189209</v>
          </cell>
          <cell r="AS200">
            <v>8855705139.5585651</v>
          </cell>
          <cell r="AT200">
            <v>8495806432.1846695</v>
          </cell>
          <cell r="AU200">
            <v>7196260656.8455591</v>
          </cell>
          <cell r="AV200">
            <v>7691367471.1799183</v>
          </cell>
          <cell r="AW200">
            <v>9624440836.2930946</v>
          </cell>
          <cell r="AX200">
            <v>10737500188.112309</v>
          </cell>
          <cell r="AY200">
            <v>13429430050.260954</v>
          </cell>
          <cell r="AZ200">
            <v>17856393235.433792</v>
          </cell>
          <cell r="BA200">
            <v>24615267617.032307</v>
          </cell>
          <cell r="BB200">
            <v>22355151177.738029</v>
          </cell>
          <cell r="BC200">
            <v>27129301048.05048</v>
          </cell>
          <cell r="BD200">
            <v>33737033607.061501</v>
          </cell>
          <cell r="BE200">
            <v>33296438408.855629</v>
          </cell>
          <cell r="BF200">
            <v>38651334593.028938</v>
          </cell>
          <cell r="BG200">
            <v>40377987314.643501</v>
          </cell>
          <cell r="BH200">
            <v>36211372646.37999</v>
          </cell>
          <cell r="BI200">
            <v>36089550671.833977</v>
          </cell>
          <cell r="BJ200">
            <v>38997129809.169662</v>
          </cell>
          <cell r="BK200">
            <v>40225448651.30619</v>
          </cell>
          <cell r="BL200">
            <v>37925338460.155571</v>
          </cell>
          <cell r="BM200">
            <v>35432177936.331673</v>
          </cell>
        </row>
        <row r="201">
          <cell r="B201" t="str">
            <v>PSE</v>
          </cell>
          <cell r="C201" t="str">
            <v>GDP (current US$)</v>
          </cell>
          <cell r="D201" t="str">
            <v>NY.GDP.MKTP.CD</v>
          </cell>
          <cell r="AM201">
            <v>2843300000</v>
          </cell>
          <cell r="AN201">
            <v>3282800000</v>
          </cell>
          <cell r="AO201">
            <v>3409600000</v>
          </cell>
          <cell r="AP201">
            <v>3759800000</v>
          </cell>
          <cell r="AQ201">
            <v>4067800000</v>
          </cell>
          <cell r="AR201">
            <v>4271200000</v>
          </cell>
          <cell r="AS201">
            <v>4313600000</v>
          </cell>
          <cell r="AT201">
            <v>4003700000</v>
          </cell>
          <cell r="AU201">
            <v>3555800000</v>
          </cell>
          <cell r="AV201">
            <v>3968000000</v>
          </cell>
          <cell r="AW201">
            <v>4603100000</v>
          </cell>
          <cell r="AX201">
            <v>5125700000</v>
          </cell>
          <cell r="AY201">
            <v>5348300000</v>
          </cell>
          <cell r="AZ201">
            <v>5815700000</v>
          </cell>
          <cell r="BA201">
            <v>7310400000</v>
          </cell>
          <cell r="BB201">
            <v>8085700000</v>
          </cell>
          <cell r="BC201">
            <v>9681500000</v>
          </cell>
          <cell r="BD201">
            <v>11186100000</v>
          </cell>
          <cell r="BE201">
            <v>12208400000</v>
          </cell>
          <cell r="BF201">
            <v>13515500000</v>
          </cell>
          <cell r="BG201">
            <v>13989700000</v>
          </cell>
          <cell r="BH201">
            <v>13972400000</v>
          </cell>
          <cell r="BI201">
            <v>15405400000</v>
          </cell>
          <cell r="BJ201">
            <v>16128000000</v>
          </cell>
          <cell r="BK201">
            <v>16276600000</v>
          </cell>
          <cell r="BL201">
            <v>17133500000</v>
          </cell>
          <cell r="BM201">
            <v>15531700000</v>
          </cell>
        </row>
        <row r="202">
          <cell r="B202" t="str">
            <v>PSS</v>
          </cell>
          <cell r="C202" t="str">
            <v>GDP (current US$)</v>
          </cell>
          <cell r="D202" t="str">
            <v>NY.GDP.MKTP.CD</v>
          </cell>
          <cell r="P202">
            <v>437447620.7644583</v>
          </cell>
          <cell r="Q202">
            <v>525633220.1645627</v>
          </cell>
          <cell r="R202">
            <v>716679448.46244109</v>
          </cell>
          <cell r="S202">
            <v>1018241425.3815897</v>
          </cell>
          <cell r="T202">
            <v>1137316353.0539711</v>
          </cell>
          <cell r="U202">
            <v>1140399510.5580688</v>
          </cell>
          <cell r="V202">
            <v>1189768787.7098145</v>
          </cell>
          <cell r="W202">
            <v>1379939152.9191022</v>
          </cell>
          <cell r="X202">
            <v>1690540719.0834475</v>
          </cell>
          <cell r="Y202">
            <v>1966099339.7158427</v>
          </cell>
          <cell r="Z202">
            <v>2023807477.8157163</v>
          </cell>
          <cell r="AA202">
            <v>1974341177.5297573</v>
          </cell>
          <cell r="AB202">
            <v>1877614434.1189609</v>
          </cell>
          <cell r="AC202">
            <v>1979416202.7496824</v>
          </cell>
          <cell r="AD202">
            <v>1873326939.4391251</v>
          </cell>
          <cell r="AE202">
            <v>2042414180.8416016</v>
          </cell>
          <cell r="AF202">
            <v>1987651802.7902813</v>
          </cell>
          <cell r="AG202">
            <v>2033226609.2751517</v>
          </cell>
          <cell r="AH202">
            <v>2103611296.0669336</v>
          </cell>
          <cell r="AI202">
            <v>2354687132.6293025</v>
          </cell>
          <cell r="AJ202">
            <v>2500551872.0540009</v>
          </cell>
          <cell r="AK202">
            <v>2743014524.2063742</v>
          </cell>
          <cell r="AL202">
            <v>2908044290.6383705</v>
          </cell>
          <cell r="AM202">
            <v>3426105625.6436663</v>
          </cell>
          <cell r="AN202">
            <v>3716903516.9917707</v>
          </cell>
          <cell r="AO202">
            <v>3978860437.5351143</v>
          </cell>
          <cell r="AP202">
            <v>3985888305.8903685</v>
          </cell>
          <cell r="AQ202">
            <v>3413058275.8834362</v>
          </cell>
          <cell r="AR202">
            <v>3750909585.1636696</v>
          </cell>
          <cell r="AS202">
            <v>3435656384.2703609</v>
          </cell>
          <cell r="AT202">
            <v>3389381091.6214123</v>
          </cell>
          <cell r="AU202">
            <v>3558832752.2435284</v>
          </cell>
          <cell r="AV202">
            <v>4239178866.186717</v>
          </cell>
          <cell r="AW202">
            <v>4877982920.2753553</v>
          </cell>
          <cell r="AX202">
            <v>5419134368.6710672</v>
          </cell>
          <cell r="AY202">
            <v>5688864951.4220343</v>
          </cell>
          <cell r="AZ202">
            <v>6273728181.6973639</v>
          </cell>
          <cell r="BA202">
            <v>6704438240.4496984</v>
          </cell>
          <cell r="BB202">
            <v>6031359069.8777666</v>
          </cell>
          <cell r="BC202">
            <v>6634286339.2321682</v>
          </cell>
          <cell r="BD202">
            <v>7736812460.3707266</v>
          </cell>
          <cell r="BE202">
            <v>8198532204.871851</v>
          </cell>
          <cell r="BF202">
            <v>8523915458.4167557</v>
          </cell>
          <cell r="BG202">
            <v>9263444823.6846161</v>
          </cell>
          <cell r="BH202">
            <v>9054327014.3613014</v>
          </cell>
          <cell r="BI202">
            <v>9504027364.7726707</v>
          </cell>
          <cell r="BJ202">
            <v>10256678899.661203</v>
          </cell>
          <cell r="BK202">
            <v>10760671502.414936</v>
          </cell>
          <cell r="BL202">
            <v>10739835368.721012</v>
          </cell>
          <cell r="BM202">
            <v>9531900179.0280952</v>
          </cell>
        </row>
        <row r="203">
          <cell r="B203" t="str">
            <v>PST</v>
          </cell>
          <cell r="C203" t="str">
            <v>GDP (current US$)</v>
          </cell>
          <cell r="D203" t="str">
            <v>NY.GDP.MKTP.CD</v>
          </cell>
          <cell r="E203">
            <v>1047773359738.1908</v>
          </cell>
          <cell r="F203">
            <v>1107818944164.998</v>
          </cell>
          <cell r="G203">
            <v>1196159196890.8792</v>
          </cell>
          <cell r="H203">
            <v>1288479558756.5813</v>
          </cell>
          <cell r="I203">
            <v>1405754910472.2544</v>
          </cell>
          <cell r="J203">
            <v>1527319910271.7561</v>
          </cell>
          <cell r="K203">
            <v>1675258902649.291</v>
          </cell>
          <cell r="L203">
            <v>1798360977872.7566</v>
          </cell>
          <cell r="M203">
            <v>1950641593704.0605</v>
          </cell>
          <cell r="N203">
            <v>2144817644944.0134</v>
          </cell>
          <cell r="O203">
            <v>2342412592303.5356</v>
          </cell>
          <cell r="P203">
            <v>2597096522533.5112</v>
          </cell>
          <cell r="Q203">
            <v>3012720085617.1636</v>
          </cell>
          <cell r="R203">
            <v>3637412282740.6958</v>
          </cell>
          <cell r="S203">
            <v>4062269107213.9575</v>
          </cell>
          <cell r="T203">
            <v>4551619425380.4658</v>
          </cell>
          <cell r="U203">
            <v>4939133669039.4883</v>
          </cell>
          <cell r="V203">
            <v>5583957272913.2734</v>
          </cell>
          <cell r="W203">
            <v>6709404010331.9814</v>
          </cell>
          <cell r="X203">
            <v>7714121027274.3623</v>
          </cell>
          <cell r="Y203">
            <v>8542238350835.8115</v>
          </cell>
          <cell r="Z203">
            <v>8638861952250.6572</v>
          </cell>
          <cell r="AA203">
            <v>8601100602982.9043</v>
          </cell>
          <cell r="AB203">
            <v>8926201078130.6934</v>
          </cell>
          <cell r="AC203">
            <v>9328457473003.2129</v>
          </cell>
          <cell r="AD203">
            <v>9822918990615.5469</v>
          </cell>
          <cell r="AE203">
            <v>12002144837791.73</v>
          </cell>
          <cell r="AF203">
            <v>13915782174308.361</v>
          </cell>
          <cell r="AG203">
            <v>15676188303230.375</v>
          </cell>
          <cell r="AH203">
            <v>16372697957121.266</v>
          </cell>
          <cell r="AI203">
            <v>18377400960323.73</v>
          </cell>
          <cell r="AJ203">
            <v>19390950004995.609</v>
          </cell>
          <cell r="AK203">
            <v>20810961097254.543</v>
          </cell>
          <cell r="AL203">
            <v>20948371516254.961</v>
          </cell>
          <cell r="AM203">
            <v>22521879706695.074</v>
          </cell>
          <cell r="AN203">
            <v>24978715758135.348</v>
          </cell>
          <cell r="AO203">
            <v>25097110656154.586</v>
          </cell>
          <cell r="AP203">
            <v>24602580608643.379</v>
          </cell>
          <cell r="AQ203">
            <v>24709296714162.207</v>
          </cell>
          <cell r="AR203">
            <v>25946742047303.891</v>
          </cell>
          <cell r="AS203">
            <v>26399173716297.766</v>
          </cell>
          <cell r="AT203">
            <v>26142575385623.48</v>
          </cell>
          <cell r="AU203">
            <v>27268467106808.066</v>
          </cell>
          <cell r="AV203">
            <v>30572525993654.77</v>
          </cell>
          <cell r="AW203">
            <v>33971626447174.633</v>
          </cell>
          <cell r="AX203">
            <v>35742710396564.477</v>
          </cell>
          <cell r="AY203">
            <v>37604948564769.273</v>
          </cell>
          <cell r="AZ203">
            <v>41044091917260.992</v>
          </cell>
          <cell r="BA203">
            <v>43476833575741.234</v>
          </cell>
          <cell r="BB203">
            <v>40929784604203.375</v>
          </cell>
          <cell r="BC203">
            <v>42691272338288.781</v>
          </cell>
          <cell r="BD203">
            <v>45849639438219.844</v>
          </cell>
          <cell r="BE203">
            <v>45778308725715.297</v>
          </cell>
          <cell r="BF203">
            <v>46233475458879.859</v>
          </cell>
          <cell r="BG203">
            <v>47148786960027.766</v>
          </cell>
          <cell r="BH203">
            <v>44585851713476</v>
          </cell>
          <cell r="BI203">
            <v>45593085156267.688</v>
          </cell>
          <cell r="BJ203">
            <v>47535727573455.883</v>
          </cell>
          <cell r="BK203">
            <v>50385041767149.844</v>
          </cell>
          <cell r="BL203">
            <v>50880064647603.922</v>
          </cell>
          <cell r="BM203">
            <v>49719390050877.102</v>
          </cell>
        </row>
        <row r="204">
          <cell r="B204" t="str">
            <v>PYF</v>
          </cell>
          <cell r="C204" t="str">
            <v>GDP (current US$)</v>
          </cell>
          <cell r="D204" t="str">
            <v>NY.GDP.MKTP.CD</v>
          </cell>
          <cell r="J204">
            <v>176534588.22848445</v>
          </cell>
          <cell r="K204">
            <v>215659453.33768159</v>
          </cell>
          <cell r="L204">
            <v>220984367.40805793</v>
          </cell>
          <cell r="M204">
            <v>259590074.27123585</v>
          </cell>
          <cell r="N204">
            <v>242943782.90236479</v>
          </cell>
          <cell r="O204">
            <v>254036000.5010666</v>
          </cell>
          <cell r="P204">
            <v>296865513.08765686</v>
          </cell>
          <cell r="Q204">
            <v>326433558.24730188</v>
          </cell>
          <cell r="R204">
            <v>431252938.191181</v>
          </cell>
          <cell r="S204">
            <v>555340843.93772721</v>
          </cell>
          <cell r="T204">
            <v>690323390.96894765</v>
          </cell>
          <cell r="U204">
            <v>732288909.02003419</v>
          </cell>
          <cell r="V204">
            <v>793196379.45063508</v>
          </cell>
          <cell r="W204">
            <v>1005569840.7474309</v>
          </cell>
          <cell r="X204">
            <v>1215032464.6921704</v>
          </cell>
          <cell r="Y204">
            <v>1320416033.3067009</v>
          </cell>
          <cell r="Z204">
            <v>1234743075.7370512</v>
          </cell>
          <cell r="AA204">
            <v>1235897960.3404696</v>
          </cell>
          <cell r="AB204">
            <v>1284180702.7859545</v>
          </cell>
          <cell r="AC204">
            <v>1325515441.9751291</v>
          </cell>
          <cell r="AD204">
            <v>1448281229.0410118</v>
          </cell>
          <cell r="AE204">
            <v>2212028291.3922234</v>
          </cell>
          <cell r="AF204">
            <v>2677977168.7251225</v>
          </cell>
          <cell r="AG204">
            <v>2723496362.1721826</v>
          </cell>
          <cell r="AH204">
            <v>2731683490.2256079</v>
          </cell>
          <cell r="AI204">
            <v>3320159522.5334024</v>
          </cell>
          <cell r="AJ204">
            <v>3410078974.2141838</v>
          </cell>
          <cell r="AK204">
            <v>3713785776.2835431</v>
          </cell>
          <cell r="AL204">
            <v>3544608541.0505009</v>
          </cell>
          <cell r="AM204">
            <v>3676123796.0075502</v>
          </cell>
          <cell r="AN204">
            <v>4186994271.3028908</v>
          </cell>
          <cell r="AO204">
            <v>4166072830.0265121</v>
          </cell>
          <cell r="AP204">
            <v>3762859109.395318</v>
          </cell>
          <cell r="AQ204">
            <v>3903186594.7092381</v>
          </cell>
          <cell r="AR204">
            <v>3911602000.2940221</v>
          </cell>
          <cell r="AS204">
            <v>3599845481.6455669</v>
          </cell>
          <cell r="AT204">
            <v>3573808550.5129194</v>
          </cell>
          <cell r="AU204">
            <v>3965405556.5557361</v>
          </cell>
          <cell r="AV204">
            <v>4927780605.2545547</v>
          </cell>
          <cell r="AW204">
            <v>5564109988.1474409</v>
          </cell>
          <cell r="AX204">
            <v>5705052111.2897329</v>
          </cell>
          <cell r="AY204">
            <v>5877997996.9525309</v>
          </cell>
          <cell r="AZ204">
            <v>6631156410.6850367</v>
          </cell>
          <cell r="BA204">
            <v>7136741397.5014086</v>
          </cell>
          <cell r="BB204">
            <v>6584557942.4077206</v>
          </cell>
          <cell r="BC204">
            <v>6086644790.8086042</v>
          </cell>
          <cell r="BD204">
            <v>6203940049.2272739</v>
          </cell>
          <cell r="BE204">
            <v>5692858093.8448515</v>
          </cell>
          <cell r="BF204">
            <v>6031827089.1253071</v>
          </cell>
          <cell r="BG204">
            <v>6151996534.9607658</v>
          </cell>
          <cell r="BH204">
            <v>5325846341.7908974</v>
          </cell>
          <cell r="BI204">
            <v>5497036486.7448654</v>
          </cell>
          <cell r="BJ204">
            <v>5833352684.4526358</v>
          </cell>
          <cell r="BK204">
            <v>6135116260.6481352</v>
          </cell>
          <cell r="BL204">
            <v>6022276207.1898298</v>
          </cell>
          <cell r="BM204">
            <v>5731835679.2306099</v>
          </cell>
        </row>
        <row r="205">
          <cell r="B205" t="str">
            <v>QAT</v>
          </cell>
          <cell r="C205" t="str">
            <v>GDP (current US$)</v>
          </cell>
          <cell r="D205" t="str">
            <v>NY.GDP.MKTP.CD</v>
          </cell>
          <cell r="O205">
            <v>301791301.55288672</v>
          </cell>
          <cell r="P205">
            <v>387703114.9228465</v>
          </cell>
          <cell r="Q205">
            <v>510262518.49960417</v>
          </cell>
          <cell r="R205">
            <v>793885649.28148925</v>
          </cell>
          <cell r="S205">
            <v>2401403228.0491977</v>
          </cell>
          <cell r="T205">
            <v>2512773379.5396338</v>
          </cell>
          <cell r="U205">
            <v>3284273711.3321662</v>
          </cell>
          <cell r="V205">
            <v>3617564943.3868394</v>
          </cell>
          <cell r="W205">
            <v>4052000413.7460341</v>
          </cell>
          <cell r="X205">
            <v>5632962998.3192444</v>
          </cell>
          <cell r="Y205">
            <v>7829165977.5850134</v>
          </cell>
          <cell r="Z205">
            <v>8661263766.1157322</v>
          </cell>
          <cell r="AA205">
            <v>7596703216.3727207</v>
          </cell>
          <cell r="AB205">
            <v>6467582309.4691162</v>
          </cell>
          <cell r="AC205">
            <v>6704395824.9432755</v>
          </cell>
          <cell r="AD205">
            <v>6153296456.0439558</v>
          </cell>
          <cell r="AE205">
            <v>5053021950.5494499</v>
          </cell>
          <cell r="AF205">
            <v>5446428681.3186808</v>
          </cell>
          <cell r="AG205">
            <v>6038187032.9670324</v>
          </cell>
          <cell r="AH205">
            <v>6487912087.9120874</v>
          </cell>
          <cell r="AI205">
            <v>7360439423.0769224</v>
          </cell>
          <cell r="AJ205">
            <v>6883516483.5164833</v>
          </cell>
          <cell r="AK205">
            <v>7646153983.5164833</v>
          </cell>
          <cell r="AL205">
            <v>7156593653.8461533</v>
          </cell>
          <cell r="AM205">
            <v>7374450769.2307692</v>
          </cell>
          <cell r="AN205">
            <v>8137911978.0219774</v>
          </cell>
          <cell r="AO205">
            <v>9059340384.6153851</v>
          </cell>
          <cell r="AP205">
            <v>11297802115.384615</v>
          </cell>
          <cell r="AQ205">
            <v>10255495027.472527</v>
          </cell>
          <cell r="AR205">
            <v>12393131868.131868</v>
          </cell>
          <cell r="AS205">
            <v>17759890109.89011</v>
          </cell>
          <cell r="AT205">
            <v>17538461538.461536</v>
          </cell>
          <cell r="AU205">
            <v>19363736263.736263</v>
          </cell>
          <cell r="AV205">
            <v>23533791208.791206</v>
          </cell>
          <cell r="AW205">
            <v>31734065934.065933</v>
          </cell>
          <cell r="AX205">
            <v>44530494505.494507</v>
          </cell>
          <cell r="AY205">
            <v>60882142857.142853</v>
          </cell>
          <cell r="AZ205">
            <v>79712087912.087906</v>
          </cell>
          <cell r="BA205">
            <v>115270054945.05495</v>
          </cell>
          <cell r="BB205">
            <v>97798351648.351639</v>
          </cell>
          <cell r="BC205">
            <v>125122306346.15384</v>
          </cell>
          <cell r="BD205">
            <v>167775268626.37363</v>
          </cell>
          <cell r="BE205">
            <v>186833502362.63736</v>
          </cell>
          <cell r="BF205">
            <v>198727642967.03296</v>
          </cell>
          <cell r="BG205">
            <v>206224598571.42856</v>
          </cell>
          <cell r="BH205">
            <v>161739955576.92307</v>
          </cell>
          <cell r="BI205">
            <v>151732181868.13187</v>
          </cell>
          <cell r="BJ205">
            <v>161099122225.27472</v>
          </cell>
          <cell r="BK205">
            <v>183334953818.6813</v>
          </cell>
          <cell r="BL205">
            <v>176371267689.08157</v>
          </cell>
          <cell r="BM205">
            <v>144411363345.27032</v>
          </cell>
        </row>
        <row r="206">
          <cell r="B206" t="str">
            <v>ROU</v>
          </cell>
          <cell r="C206" t="str">
            <v>GDP (current US$)</v>
          </cell>
          <cell r="D206" t="str">
            <v>NY.GDP.MKTP.CD</v>
          </cell>
          <cell r="AF206">
            <v>38067565160.583885</v>
          </cell>
          <cell r="AG206">
            <v>40424526825.790344</v>
          </cell>
          <cell r="AH206">
            <v>41450779108.672424</v>
          </cell>
          <cell r="AI206">
            <v>38244330107.546906</v>
          </cell>
          <cell r="AJ206">
            <v>28851673544.996056</v>
          </cell>
          <cell r="AK206">
            <v>25121666666.666668</v>
          </cell>
          <cell r="AL206">
            <v>26361131547.122406</v>
          </cell>
          <cell r="AM206">
            <v>30072880812.324501</v>
          </cell>
          <cell r="AN206">
            <v>37430238805.93351</v>
          </cell>
          <cell r="AO206">
            <v>36937074278.300354</v>
          </cell>
          <cell r="AP206">
            <v>35575197534.578743</v>
          </cell>
          <cell r="AQ206">
            <v>41696111548.06765</v>
          </cell>
          <cell r="AR206">
            <v>35953162615.856323</v>
          </cell>
          <cell r="AS206">
            <v>37253738081.06694</v>
          </cell>
          <cell r="AT206">
            <v>40395114264.781113</v>
          </cell>
          <cell r="AU206">
            <v>46065502702.581696</v>
          </cell>
          <cell r="AV206">
            <v>57806382692.205658</v>
          </cell>
          <cell r="AW206">
            <v>74973660680.521988</v>
          </cell>
          <cell r="AX206">
            <v>98454374488.292618</v>
          </cell>
          <cell r="AY206">
            <v>122023721512.52841</v>
          </cell>
          <cell r="AZ206">
            <v>174588782938.58301</v>
          </cell>
          <cell r="BA206">
            <v>214317174116.58087</v>
          </cell>
          <cell r="BB206">
            <v>174102268534.83966</v>
          </cell>
          <cell r="BC206">
            <v>170029359010.66742</v>
          </cell>
          <cell r="BD206">
            <v>192613558645.61172</v>
          </cell>
          <cell r="BE206">
            <v>179132893143.41733</v>
          </cell>
          <cell r="BF206">
            <v>189789277576.06091</v>
          </cell>
          <cell r="BG206">
            <v>199713780259.3176</v>
          </cell>
          <cell r="BH206">
            <v>177883897811.43365</v>
          </cell>
          <cell r="BI206">
            <v>185287615324.92184</v>
          </cell>
          <cell r="BJ206">
            <v>210147181055.27652</v>
          </cell>
          <cell r="BK206">
            <v>243316050520.72522</v>
          </cell>
          <cell r="BL206">
            <v>251017797625.017</v>
          </cell>
          <cell r="BM206">
            <v>251362534092.31464</v>
          </cell>
        </row>
        <row r="207">
          <cell r="B207" t="str">
            <v>RUS</v>
          </cell>
          <cell r="C207" t="str">
            <v>GDP (current US$)</v>
          </cell>
          <cell r="D207" t="str">
            <v>NY.GDP.MKTP.CD</v>
          </cell>
          <cell r="AG207">
            <v>554713455149.50159</v>
          </cell>
          <cell r="AH207">
            <v>506500173960.26923</v>
          </cell>
          <cell r="AI207">
            <v>516814274021.95587</v>
          </cell>
          <cell r="AJ207">
            <v>517962962962.96295</v>
          </cell>
          <cell r="AK207">
            <v>460290556900.72638</v>
          </cell>
          <cell r="AL207">
            <v>435083713850.83716</v>
          </cell>
          <cell r="AM207">
            <v>395077301248.46368</v>
          </cell>
          <cell r="AN207">
            <v>395537185734.85437</v>
          </cell>
          <cell r="AO207">
            <v>391724890744.49817</v>
          </cell>
          <cell r="AP207">
            <v>404928954191.87555</v>
          </cell>
          <cell r="AQ207">
            <v>270955486862.44205</v>
          </cell>
          <cell r="AR207">
            <v>195907128350.9342</v>
          </cell>
          <cell r="AS207">
            <v>259710142196.94278</v>
          </cell>
          <cell r="AT207">
            <v>306602070620.50049</v>
          </cell>
          <cell r="AU207">
            <v>345470494417.86279</v>
          </cell>
          <cell r="AV207">
            <v>430347420194.65967</v>
          </cell>
          <cell r="AW207">
            <v>591016690742.79761</v>
          </cell>
          <cell r="AX207">
            <v>764015982495.67615</v>
          </cell>
          <cell r="AY207">
            <v>989932059220.66748</v>
          </cell>
          <cell r="AZ207">
            <v>1299703459799.9585</v>
          </cell>
          <cell r="BA207">
            <v>1660848058303.1138</v>
          </cell>
          <cell r="BB207">
            <v>1222645887209.3191</v>
          </cell>
          <cell r="BC207">
            <v>1524916698232.7131</v>
          </cell>
          <cell r="BD207">
            <v>2045922727569.7834</v>
          </cell>
          <cell r="BE207">
            <v>2208293528673.9741</v>
          </cell>
          <cell r="BF207">
            <v>2292470104248.1816</v>
          </cell>
          <cell r="BG207">
            <v>2059241582146.1104</v>
          </cell>
          <cell r="BH207">
            <v>1363482179761.1711</v>
          </cell>
          <cell r="BI207">
            <v>1276786344534.2651</v>
          </cell>
          <cell r="BJ207">
            <v>1574199355092.7134</v>
          </cell>
          <cell r="BK207">
            <v>1657328764645.9346</v>
          </cell>
          <cell r="BL207">
            <v>1693114993990.49</v>
          </cell>
          <cell r="BM207">
            <v>1493075887459.8118</v>
          </cell>
        </row>
        <row r="208">
          <cell r="B208" t="str">
            <v>RWA</v>
          </cell>
          <cell r="C208" t="str">
            <v>GDP (current US$)</v>
          </cell>
          <cell r="D208" t="str">
            <v>NY.GDP.MKTP.CD</v>
          </cell>
          <cell r="E208">
            <v>119000024.11900002</v>
          </cell>
          <cell r="F208">
            <v>122000016.12200001</v>
          </cell>
          <cell r="G208">
            <v>125000008.125</v>
          </cell>
          <cell r="H208">
            <v>128000000.12799999</v>
          </cell>
          <cell r="I208">
            <v>129999994.12999998</v>
          </cell>
          <cell r="J208">
            <v>148799980.14879999</v>
          </cell>
          <cell r="K208">
            <v>124525702.98166856</v>
          </cell>
          <cell r="L208">
            <v>159560018.15955999</v>
          </cell>
          <cell r="M208">
            <v>172200018.17219999</v>
          </cell>
          <cell r="N208">
            <v>188700037.18870002</v>
          </cell>
          <cell r="O208">
            <v>219900006.21989998</v>
          </cell>
          <cell r="P208">
            <v>222952503.88432068</v>
          </cell>
          <cell r="Q208">
            <v>246457838.60426453</v>
          </cell>
          <cell r="R208">
            <v>290746157.49236929</v>
          </cell>
          <cell r="S208">
            <v>308458423.18385434</v>
          </cell>
          <cell r="T208">
            <v>571863503.0084914</v>
          </cell>
          <cell r="U208">
            <v>637753856.05311692</v>
          </cell>
          <cell r="V208">
            <v>746650611.31218541</v>
          </cell>
          <cell r="W208">
            <v>905709080.93025815</v>
          </cell>
          <cell r="X208">
            <v>1109346136.6514034</v>
          </cell>
          <cell r="Y208">
            <v>1254765643.1540589</v>
          </cell>
          <cell r="Z208">
            <v>1407062526.2863123</v>
          </cell>
          <cell r="AA208">
            <v>1407243132.6166406</v>
          </cell>
          <cell r="AB208">
            <v>1479687583.1350651</v>
          </cell>
          <cell r="AC208">
            <v>1587413091.4647477</v>
          </cell>
          <cell r="AD208">
            <v>1715626336.5332551</v>
          </cell>
          <cell r="AE208">
            <v>1944710687.9418812</v>
          </cell>
          <cell r="AF208">
            <v>2157432667.8422408</v>
          </cell>
          <cell r="AG208">
            <v>2395492695.1376657</v>
          </cell>
          <cell r="AH208">
            <v>2405022587.8004465</v>
          </cell>
          <cell r="AI208">
            <v>2550185692.5372052</v>
          </cell>
          <cell r="AJ208">
            <v>1911600232.0927932</v>
          </cell>
          <cell r="AK208">
            <v>2029026956.6355369</v>
          </cell>
          <cell r="AL208">
            <v>1971525718.1606159</v>
          </cell>
          <cell r="AM208">
            <v>753636370.4545455</v>
          </cell>
          <cell r="AN208">
            <v>1293535192.2166138</v>
          </cell>
          <cell r="AO208">
            <v>1382334879.4081221</v>
          </cell>
          <cell r="AP208">
            <v>1851558199.3577287</v>
          </cell>
          <cell r="AQ208">
            <v>1989343548.2991712</v>
          </cell>
          <cell r="AR208">
            <v>2157024758.1222391</v>
          </cell>
          <cell r="AS208">
            <v>2068762706.745975</v>
          </cell>
          <cell r="AT208">
            <v>1966548409.548578</v>
          </cell>
          <cell r="AU208">
            <v>1965932546.3583436</v>
          </cell>
          <cell r="AV208">
            <v>2138185328.1515584</v>
          </cell>
          <cell r="AW208">
            <v>2376464519.6403618</v>
          </cell>
          <cell r="AX208">
            <v>2933765825.2803717</v>
          </cell>
          <cell r="AY208">
            <v>3319711249.4418893</v>
          </cell>
          <cell r="AZ208">
            <v>4070391531.2959929</v>
          </cell>
          <cell r="BA208">
            <v>5179804290.63377</v>
          </cell>
          <cell r="BB208">
            <v>5674428927.6035643</v>
          </cell>
          <cell r="BC208">
            <v>6124693374.470645</v>
          </cell>
          <cell r="BD208">
            <v>6884907733.0048437</v>
          </cell>
          <cell r="BE208">
            <v>7654782978.5873594</v>
          </cell>
          <cell r="BF208">
            <v>7820052084.0338745</v>
          </cell>
          <cell r="BG208">
            <v>8239042500.2873278</v>
          </cell>
          <cell r="BH208">
            <v>8543869360.36164</v>
          </cell>
          <cell r="BI208">
            <v>8695318854.1105537</v>
          </cell>
          <cell r="BJ208">
            <v>9252833678.0891647</v>
          </cell>
          <cell r="BK208">
            <v>9636510839.3070736</v>
          </cell>
          <cell r="BL208">
            <v>10346675636.339691</v>
          </cell>
          <cell r="BM208">
            <v>10172925171.586851</v>
          </cell>
        </row>
        <row r="209">
          <cell r="B209" t="str">
            <v>SAS</v>
          </cell>
          <cell r="C209" t="str">
            <v>GDP (current US$)</v>
          </cell>
          <cell r="D209" t="str">
            <v>NY.GDP.MKTP.CD</v>
          </cell>
          <cell r="E209">
            <v>47156704038.645477</v>
          </cell>
          <cell r="F209">
            <v>50316837320.196457</v>
          </cell>
          <cell r="G209">
            <v>53705580292.75164</v>
          </cell>
          <cell r="H209">
            <v>60408326895.492905</v>
          </cell>
          <cell r="I209">
            <v>69158968713.736404</v>
          </cell>
          <cell r="J209">
            <v>74274468929.555267</v>
          </cell>
          <cell r="K209">
            <v>62456580600.221931</v>
          </cell>
          <cell r="L209">
            <v>68712964033.034142</v>
          </cell>
          <cell r="M209">
            <v>72018446516.858444</v>
          </cell>
          <cell r="N209">
            <v>79171992803.877899</v>
          </cell>
          <cell r="O209">
            <v>85711844745.380981</v>
          </cell>
          <cell r="P209">
            <v>91169238617.006653</v>
          </cell>
          <cell r="Q209">
            <v>91653327298.465622</v>
          </cell>
          <cell r="R209">
            <v>104781402787.84631</v>
          </cell>
          <cell r="S209">
            <v>126934580819.77943</v>
          </cell>
          <cell r="T209">
            <v>135867507778.86075</v>
          </cell>
          <cell r="U209">
            <v>132608444905.69803</v>
          </cell>
          <cell r="V209">
            <v>153553587500.20929</v>
          </cell>
          <cell r="W209">
            <v>174721808669.43256</v>
          </cell>
          <cell r="X209">
            <v>195693075714.57617</v>
          </cell>
          <cell r="Y209">
            <v>235962137572.70035</v>
          </cell>
          <cell r="Z209">
            <v>250140235557.80493</v>
          </cell>
          <cell r="AA209">
            <v>258792952697.99396</v>
          </cell>
          <cell r="AB209">
            <v>273951368607.72208</v>
          </cell>
          <cell r="AC209">
            <v>272676312680.72052</v>
          </cell>
          <cell r="AD209">
            <v>296510765025.75385</v>
          </cell>
          <cell r="AE209">
            <v>314034899880.35278</v>
          </cell>
          <cell r="AF209">
            <v>348690416778.91943</v>
          </cell>
          <cell r="AG209">
            <v>374679367843.73608</v>
          </cell>
          <cell r="AH209">
            <v>378112968995.0791</v>
          </cell>
          <cell r="AI209">
            <v>407066728402.15186</v>
          </cell>
          <cell r="AJ209">
            <v>362155183204.79938</v>
          </cell>
          <cell r="AK209">
            <v>384619247242.88586</v>
          </cell>
          <cell r="AL209">
            <v>380986910706.29211</v>
          </cell>
          <cell r="AM209">
            <v>432196055451.7215</v>
          </cell>
          <cell r="AN209">
            <v>479707317022.57031</v>
          </cell>
          <cell r="AO209">
            <v>524814569929.73108</v>
          </cell>
          <cell r="AP209">
            <v>550548635667.58289</v>
          </cell>
          <cell r="AQ209">
            <v>558258844530.03101</v>
          </cell>
          <cell r="AR209">
            <v>598146534949.58752</v>
          </cell>
          <cell r="AS209">
            <v>630242098666.01562</v>
          </cell>
          <cell r="AT209">
            <v>645678633202.56824</v>
          </cell>
          <cell r="AU209">
            <v>677426539845.30237</v>
          </cell>
          <cell r="AV209">
            <v>791026613085.97461</v>
          </cell>
          <cell r="AW209">
            <v>917083438858.51855</v>
          </cell>
          <cell r="AX209">
            <v>1050602379999.6323</v>
          </cell>
          <cell r="AY209">
            <v>1196088124853.0815</v>
          </cell>
          <cell r="AZ209">
            <v>1504162366252.8945</v>
          </cell>
          <cell r="BA209">
            <v>1527612730733.4111</v>
          </cell>
          <cell r="BB209">
            <v>1683173926491.5034</v>
          </cell>
          <cell r="BC209">
            <v>2062468955967.6965</v>
          </cell>
          <cell r="BD209">
            <v>2277346353954.8921</v>
          </cell>
          <cell r="BE209">
            <v>2302398278355.3418</v>
          </cell>
          <cell r="BF209">
            <v>2362708983919.2241</v>
          </cell>
          <cell r="BG209">
            <v>2587787935996.415</v>
          </cell>
          <cell r="BH209">
            <v>2704835939982.5103</v>
          </cell>
          <cell r="BI209">
            <v>3010757329892.833</v>
          </cell>
          <cell r="BJ209">
            <v>3433883301221.7539</v>
          </cell>
          <cell r="BK209">
            <v>3534209044993.8716</v>
          </cell>
          <cell r="BL209">
            <v>3658004814522.0083</v>
          </cell>
          <cell r="BM209">
            <v>3490012356687.834</v>
          </cell>
        </row>
        <row r="210">
          <cell r="B210" t="str">
            <v>SAU</v>
          </cell>
          <cell r="C210" t="str">
            <v>GDP (current US$)</v>
          </cell>
          <cell r="D210" t="str">
            <v>NY.GDP.MKTP.CD</v>
          </cell>
          <cell r="M210">
            <v>4187777707.8539505</v>
          </cell>
          <cell r="N210">
            <v>4485777640.9555063</v>
          </cell>
          <cell r="O210">
            <v>5377268844.3471241</v>
          </cell>
          <cell r="P210">
            <v>7184816176.8767529</v>
          </cell>
          <cell r="Q210">
            <v>9664177036.6720924</v>
          </cell>
          <cell r="R210">
            <v>14947535254.228748</v>
          </cell>
          <cell r="S210">
            <v>45412971922.171829</v>
          </cell>
          <cell r="T210">
            <v>46773137523.074844</v>
          </cell>
          <cell r="U210">
            <v>64005623888.454567</v>
          </cell>
          <cell r="V210">
            <v>74189100135.365479</v>
          </cell>
          <cell r="W210">
            <v>80266637389.663193</v>
          </cell>
          <cell r="X210">
            <v>111858506074.44746</v>
          </cell>
          <cell r="Y210">
            <v>164539597502.00363</v>
          </cell>
          <cell r="Z210">
            <v>184291434776.43393</v>
          </cell>
          <cell r="AA210">
            <v>153240295657.77145</v>
          </cell>
          <cell r="AB210">
            <v>129171602025.14703</v>
          </cell>
          <cell r="AC210">
            <v>119624918956.20943</v>
          </cell>
          <cell r="AD210">
            <v>103897892810.97874</v>
          </cell>
          <cell r="AE210">
            <v>86962013010.555222</v>
          </cell>
          <cell r="AF210">
            <v>85695941760.045135</v>
          </cell>
          <cell r="AG210">
            <v>88256162068.972488</v>
          </cell>
          <cell r="AH210">
            <v>95344352823.69693</v>
          </cell>
          <cell r="AI210">
            <v>117630261604.88786</v>
          </cell>
          <cell r="AJ210">
            <v>132223257865.57784</v>
          </cell>
          <cell r="AK210">
            <v>137087867284.34232</v>
          </cell>
          <cell r="AL210">
            <v>132967891655.20506</v>
          </cell>
          <cell r="AM210">
            <v>135174876355.65553</v>
          </cell>
          <cell r="AN210">
            <v>143343025756.2988</v>
          </cell>
          <cell r="AO210">
            <v>158662377388.98904</v>
          </cell>
          <cell r="AP210">
            <v>165963594803.63577</v>
          </cell>
          <cell r="AQ210">
            <v>146775428759.27838</v>
          </cell>
          <cell r="AR210">
            <v>161717040000</v>
          </cell>
          <cell r="AS210">
            <v>189514910222.66666</v>
          </cell>
          <cell r="AT210">
            <v>184137517724.86267</v>
          </cell>
          <cell r="AU210">
            <v>189605920240.51572</v>
          </cell>
          <cell r="AV210">
            <v>215807655244.42401</v>
          </cell>
          <cell r="AW210">
            <v>258742263029.00797</v>
          </cell>
          <cell r="AX210">
            <v>328459700124.06396</v>
          </cell>
          <cell r="AY210">
            <v>376900135720.729</v>
          </cell>
          <cell r="AZ210">
            <v>415964583059.20477</v>
          </cell>
          <cell r="BA210">
            <v>519796738631.12799</v>
          </cell>
          <cell r="BB210">
            <v>429097899279.01337</v>
          </cell>
          <cell r="BC210">
            <v>528207298529.87201</v>
          </cell>
          <cell r="BD210">
            <v>676634577273.04529</v>
          </cell>
          <cell r="BE210">
            <v>741849984943.25598</v>
          </cell>
          <cell r="BF210">
            <v>753864543430.24805</v>
          </cell>
          <cell r="BG210">
            <v>766605946720.42664</v>
          </cell>
          <cell r="BH210">
            <v>669484381328.89075</v>
          </cell>
          <cell r="BI210">
            <v>665999879694.19189</v>
          </cell>
          <cell r="BJ210">
            <v>714994694991.65063</v>
          </cell>
          <cell r="BK210">
            <v>846583785179.85596</v>
          </cell>
          <cell r="BL210">
            <v>838564705624.6427</v>
          </cell>
          <cell r="BM210">
            <v>734271183954.88013</v>
          </cell>
        </row>
        <row r="211">
          <cell r="B211" t="str">
            <v>SDN</v>
          </cell>
          <cell r="C211" t="str">
            <v>GDP (current US$)</v>
          </cell>
          <cell r="D211" t="str">
            <v>NY.GDP.MKTP.CD</v>
          </cell>
          <cell r="E211">
            <v>1126364161.7644002</v>
          </cell>
          <cell r="F211">
            <v>1222860428.555027</v>
          </cell>
          <cell r="G211">
            <v>1328259624.7221701</v>
          </cell>
          <cell r="H211">
            <v>1351234926.3389859</v>
          </cell>
          <cell r="I211">
            <v>1388282600.1961017</v>
          </cell>
          <cell r="J211">
            <v>1446869619.3189821</v>
          </cell>
          <cell r="K211">
            <v>1484491675.7165182</v>
          </cell>
          <cell r="L211">
            <v>1607409539.3664834</v>
          </cell>
          <cell r="M211">
            <v>1677771400.5679824</v>
          </cell>
          <cell r="N211">
            <v>1847501441.2622097</v>
          </cell>
          <cell r="O211">
            <v>2100229759.0471847</v>
          </cell>
          <cell r="P211">
            <v>2288340041.0348649</v>
          </cell>
          <cell r="Q211">
            <v>2483055722.23738</v>
          </cell>
          <cell r="R211">
            <v>3077254460.3022814</v>
          </cell>
          <cell r="S211">
            <v>3958931659.8475924</v>
          </cell>
          <cell r="T211">
            <v>4823090191.9100809</v>
          </cell>
          <cell r="U211">
            <v>6013210815.6611452</v>
          </cell>
          <cell r="V211">
            <v>7499005639.3764896</v>
          </cell>
          <cell r="W211">
            <v>8128719315.0792007</v>
          </cell>
          <cell r="X211">
            <v>8418407786.6059923</v>
          </cell>
          <cell r="Y211">
            <v>8951800017.9036007</v>
          </cell>
          <cell r="Z211">
            <v>10753888154.279812</v>
          </cell>
          <cell r="AA211">
            <v>8732542273.7342396</v>
          </cell>
          <cell r="AB211">
            <v>8230153846.1538467</v>
          </cell>
          <cell r="AC211">
            <v>10447615384.615385</v>
          </cell>
          <cell r="AD211">
            <v>8075259600.3398018</v>
          </cell>
          <cell r="AE211">
            <v>10092200000</v>
          </cell>
          <cell r="AF211">
            <v>12093333333.333334</v>
          </cell>
          <cell r="AG211">
            <v>14372555555.555559</v>
          </cell>
          <cell r="AH211">
            <v>21408111111.111115</v>
          </cell>
          <cell r="AI211">
            <v>33641222222.222225</v>
          </cell>
          <cell r="AJ211">
            <v>44171194366.203911</v>
          </cell>
          <cell r="AK211">
            <v>7031933491.8489866</v>
          </cell>
          <cell r="AL211">
            <v>8881010081.2494221</v>
          </cell>
          <cell r="AM211">
            <v>12793798418.384317</v>
          </cell>
          <cell r="AN211">
            <v>13830369852.313004</v>
          </cell>
          <cell r="AO211">
            <v>9018303128.0188961</v>
          </cell>
          <cell r="AP211">
            <v>11681179570.900702</v>
          </cell>
          <cell r="AQ211">
            <v>11250220602.973974</v>
          </cell>
          <cell r="AR211">
            <v>10682027634.746183</v>
          </cell>
          <cell r="AS211">
            <v>12257299147.293604</v>
          </cell>
          <cell r="AT211">
            <v>15716361539.064255</v>
          </cell>
          <cell r="AU211">
            <v>18137126092.281811</v>
          </cell>
          <cell r="AV211">
            <v>21355295732.053516</v>
          </cell>
          <cell r="AW211">
            <v>26646007250.731857</v>
          </cell>
          <cell r="AX211">
            <v>35182707173.815674</v>
          </cell>
          <cell r="AY211">
            <v>45263824686.089775</v>
          </cell>
          <cell r="AZ211">
            <v>59440139774.812767</v>
          </cell>
          <cell r="BA211">
            <v>64833088568.393997</v>
          </cell>
          <cell r="BB211">
            <v>58315346841.236366</v>
          </cell>
          <cell r="BC211">
            <v>74151157011.525055</v>
          </cell>
          <cell r="BD211">
            <v>78402841444.952423</v>
          </cell>
          <cell r="BE211">
            <v>63196236489.370445</v>
          </cell>
          <cell r="BF211">
            <v>66027147864.79155</v>
          </cell>
          <cell r="BG211">
            <v>76818773784.760498</v>
          </cell>
          <cell r="BH211">
            <v>84984672415.940125</v>
          </cell>
          <cell r="BI211">
            <v>102943515502.99355</v>
          </cell>
          <cell r="BJ211">
            <v>129718581297.43123</v>
          </cell>
          <cell r="BK211">
            <v>32333780383.292381</v>
          </cell>
          <cell r="BL211">
            <v>32338079165.289257</v>
          </cell>
          <cell r="BM211">
            <v>27034593750</v>
          </cell>
        </row>
        <row r="212">
          <cell r="B212" t="str">
            <v>SEN</v>
          </cell>
          <cell r="C212" t="str">
            <v>GDP (current US$)</v>
          </cell>
          <cell r="D212" t="str">
            <v>NY.GDP.MKTP.CD</v>
          </cell>
          <cell r="E212">
            <v>1003692368.8380305</v>
          </cell>
          <cell r="F212">
            <v>1058975258.6059928</v>
          </cell>
          <cell r="G212">
            <v>1085475791.9798131</v>
          </cell>
          <cell r="H212">
            <v>1122139863.0699809</v>
          </cell>
          <cell r="I212">
            <v>1188930644.9607017</v>
          </cell>
          <cell r="J212">
            <v>1210058227.1455035</v>
          </cell>
          <cell r="K212">
            <v>1246908188.2085457</v>
          </cell>
          <cell r="L212">
            <v>1246480767.0374177</v>
          </cell>
          <cell r="M212">
            <v>1309384863.2076943</v>
          </cell>
          <cell r="N212">
            <v>1245234929.7498808</v>
          </cell>
          <cell r="O212">
            <v>1297407654.8023081</v>
          </cell>
          <cell r="P212">
            <v>1339549034.3686156</v>
          </cell>
          <cell r="Q212">
            <v>1620857100.5595036</v>
          </cell>
          <cell r="R212">
            <v>1863398590.0106103</v>
          </cell>
          <cell r="S212">
            <v>2099325232.115263</v>
          </cell>
          <cell r="T212">
            <v>2830388400.3912864</v>
          </cell>
          <cell r="U212">
            <v>2869777881.2443047</v>
          </cell>
          <cell r="V212">
            <v>2938046467.8930488</v>
          </cell>
          <cell r="W212">
            <v>3280354917.450573</v>
          </cell>
          <cell r="X212">
            <v>4084877817.8783822</v>
          </cell>
          <cell r="Y212">
            <v>4510108281.8431511</v>
          </cell>
          <cell r="Z212">
            <v>4095892787.3609552</v>
          </cell>
          <cell r="AA212">
            <v>4013951446.3476739</v>
          </cell>
          <cell r="AB212">
            <v>3569356124.700901</v>
          </cell>
          <cell r="AC212">
            <v>3485165433.4043894</v>
          </cell>
          <cell r="AD212">
            <v>3818944920.0186062</v>
          </cell>
          <cell r="AE212">
            <v>5392093452.4472198</v>
          </cell>
          <cell r="AF212">
            <v>6487353094.1485596</v>
          </cell>
          <cell r="AG212">
            <v>6418419392.5272646</v>
          </cell>
          <cell r="AH212">
            <v>6366039362.8003712</v>
          </cell>
          <cell r="AI212">
            <v>7390967361.6592674</v>
          </cell>
          <cell r="AJ212">
            <v>7255210474.4341841</v>
          </cell>
          <cell r="AK212">
            <v>7769817847.277997</v>
          </cell>
          <cell r="AL212">
            <v>7367986228.2080507</v>
          </cell>
          <cell r="AM212">
            <v>5034588198.680192</v>
          </cell>
          <cell r="AN212">
            <v>6326342634.6542196</v>
          </cell>
          <cell r="AO212">
            <v>6559712162.4705667</v>
          </cell>
          <cell r="AP212">
            <v>6041478722.24648</v>
          </cell>
          <cell r="AQ212">
            <v>6505607913.8244286</v>
          </cell>
          <cell r="AR212">
            <v>6592834929.3899393</v>
          </cell>
          <cell r="AS212">
            <v>6013185003.7096739</v>
          </cell>
          <cell r="AT212">
            <v>6507824826.950242</v>
          </cell>
          <cell r="AU212">
            <v>7006402324.8451147</v>
          </cell>
          <cell r="AV212">
            <v>8768721560.5742207</v>
          </cell>
          <cell r="AW212">
            <v>10076816661.047958</v>
          </cell>
          <cell r="AX212">
            <v>11009033445.254768</v>
          </cell>
          <cell r="AY212">
            <v>11697918245.35066</v>
          </cell>
          <cell r="AZ212">
            <v>13994218399.034044</v>
          </cell>
          <cell r="BA212">
            <v>16853989611.193321</v>
          </cell>
          <cell r="BB212">
            <v>16145867483.219795</v>
          </cell>
          <cell r="BC212">
            <v>16121315901.811733</v>
          </cell>
          <cell r="BD212">
            <v>17814283649.936707</v>
          </cell>
          <cell r="BE212">
            <v>17660870395.810329</v>
          </cell>
          <cell r="BF212">
            <v>18918667730.541698</v>
          </cell>
          <cell r="BG212">
            <v>19797253445.267292</v>
          </cell>
          <cell r="BH212">
            <v>17774766696.698723</v>
          </cell>
          <cell r="BI212">
            <v>19040312331.161495</v>
          </cell>
          <cell r="BJ212">
            <v>20996562958.50098</v>
          </cell>
          <cell r="BK212">
            <v>23116701539.564644</v>
          </cell>
          <cell r="BL212">
            <v>23403995984.930641</v>
          </cell>
          <cell r="BM212">
            <v>24530513058.594551</v>
          </cell>
        </row>
        <row r="213">
          <cell r="B213" t="str">
            <v>SGP</v>
          </cell>
          <cell r="C213" t="str">
            <v>GDP (current US$)</v>
          </cell>
          <cell r="D213" t="str">
            <v>NY.GDP.MKTP.CD</v>
          </cell>
          <cell r="E213">
            <v>704751699.82796133</v>
          </cell>
          <cell r="F213">
            <v>764629787.60883892</v>
          </cell>
          <cell r="G213">
            <v>826239211.26117659</v>
          </cell>
          <cell r="H213">
            <v>917608011.873896</v>
          </cell>
          <cell r="I213">
            <v>894153310.82279396</v>
          </cell>
          <cell r="J213">
            <v>974644095.48841441</v>
          </cell>
          <cell r="K213">
            <v>1096425607.3526325</v>
          </cell>
          <cell r="L213">
            <v>1238035814.9522529</v>
          </cell>
          <cell r="M213">
            <v>1425706090.0756254</v>
          </cell>
          <cell r="N213">
            <v>1659893766.7265317</v>
          </cell>
          <cell r="O213">
            <v>1920574148.8822346</v>
          </cell>
          <cell r="P213">
            <v>2263785443.6168823</v>
          </cell>
          <cell r="Q213">
            <v>2721440980.7585139</v>
          </cell>
          <cell r="R213">
            <v>3696213333.3333335</v>
          </cell>
          <cell r="S213">
            <v>5221534955.6441774</v>
          </cell>
          <cell r="T213">
            <v>5633673929.9930239</v>
          </cell>
          <cell r="U213">
            <v>6327077974.107029</v>
          </cell>
          <cell r="V213">
            <v>6618585073.6603527</v>
          </cell>
          <cell r="W213">
            <v>7517176354.8413544</v>
          </cell>
          <cell r="X213">
            <v>9296921723.8346519</v>
          </cell>
          <cell r="Y213">
            <v>11896256782.856619</v>
          </cell>
          <cell r="Z213">
            <v>14175228843.63908</v>
          </cell>
          <cell r="AA213">
            <v>16084252378.473043</v>
          </cell>
          <cell r="AB213">
            <v>17784112149.532711</v>
          </cell>
          <cell r="AC213">
            <v>19749361097.964977</v>
          </cell>
          <cell r="AD213">
            <v>19156532745.769066</v>
          </cell>
          <cell r="AE213">
            <v>18586746056.99741</v>
          </cell>
          <cell r="AF213">
            <v>20919215578.212547</v>
          </cell>
          <cell r="AG213">
            <v>25371462488.129158</v>
          </cell>
          <cell r="AH213">
            <v>30465364738.620552</v>
          </cell>
          <cell r="AI213">
            <v>36144336768.702255</v>
          </cell>
          <cell r="AJ213">
            <v>45466164978.292328</v>
          </cell>
          <cell r="AK213">
            <v>52131330700.443939</v>
          </cell>
          <cell r="AL213">
            <v>60603821967.468071</v>
          </cell>
          <cell r="AM213">
            <v>73688716390.615311</v>
          </cell>
          <cell r="AN213">
            <v>87812540788.429306</v>
          </cell>
          <cell r="AO213">
            <v>96293097894.919357</v>
          </cell>
          <cell r="AP213">
            <v>100123798454.00684</v>
          </cell>
          <cell r="AQ213">
            <v>85728224856.372467</v>
          </cell>
          <cell r="AR213">
            <v>86286866724.22287</v>
          </cell>
          <cell r="AS213">
            <v>96076521349.062134</v>
          </cell>
          <cell r="AT213">
            <v>89793815727.602905</v>
          </cell>
          <cell r="AU213">
            <v>92538355642.884781</v>
          </cell>
          <cell r="AV213">
            <v>97646382412.872925</v>
          </cell>
          <cell r="AW213">
            <v>115033570415.04277</v>
          </cell>
          <cell r="AX213">
            <v>127807810333.76942</v>
          </cell>
          <cell r="AY213">
            <v>148627255181.67355</v>
          </cell>
          <cell r="AZ213">
            <v>180941741377.76553</v>
          </cell>
          <cell r="BA213">
            <v>193617346346.78485</v>
          </cell>
          <cell r="BB213">
            <v>194150322022.0918</v>
          </cell>
          <cell r="BC213">
            <v>239807921966.00739</v>
          </cell>
          <cell r="BD213">
            <v>279356526366.33435</v>
          </cell>
          <cell r="BE213">
            <v>295092839974.91882</v>
          </cell>
          <cell r="BF213">
            <v>307576360584.99158</v>
          </cell>
          <cell r="BG213">
            <v>314863580758.45465</v>
          </cell>
          <cell r="BH213">
            <v>307998545269.39795</v>
          </cell>
          <cell r="BI213">
            <v>319029973659.29303</v>
          </cell>
          <cell r="BJ213">
            <v>343272878686.38776</v>
          </cell>
          <cell r="BK213">
            <v>376869585632.11548</v>
          </cell>
          <cell r="BL213">
            <v>376837488316.9729</v>
          </cell>
          <cell r="BM213">
            <v>348392174863.65118</v>
          </cell>
        </row>
        <row r="214">
          <cell r="B214" t="str">
            <v>SLB</v>
          </cell>
          <cell r="C214" t="str">
            <v>GDP (current US$)</v>
          </cell>
          <cell r="D214" t="str">
            <v>NY.GDP.MKTP.CD</v>
          </cell>
          <cell r="L214">
            <v>25203524.032563843</v>
          </cell>
          <cell r="M214">
            <v>28084252.758274823</v>
          </cell>
          <cell r="N214">
            <v>28606411.398040961</v>
          </cell>
          <cell r="P214">
            <v>50056882.821387939</v>
          </cell>
          <cell r="Q214">
            <v>40606712.050638959</v>
          </cell>
          <cell r="R214">
            <v>55272108.843537413</v>
          </cell>
          <cell r="S214">
            <v>84539332.282561973</v>
          </cell>
          <cell r="T214">
            <v>74620352.592075378</v>
          </cell>
          <cell r="U214">
            <v>83100800.456239715</v>
          </cell>
          <cell r="V214">
            <v>93145317.784472048</v>
          </cell>
          <cell r="W214">
            <v>111027384.84724201</v>
          </cell>
          <cell r="X214">
            <v>151276440.25880837</v>
          </cell>
          <cell r="Y214">
            <v>182852054.19283372</v>
          </cell>
          <cell r="Z214">
            <v>193750476.47208157</v>
          </cell>
          <cell r="AA214">
            <v>192901942.93311027</v>
          </cell>
          <cell r="AB214">
            <v>181220349.80406713</v>
          </cell>
          <cell r="AC214">
            <v>181570454.32585609</v>
          </cell>
          <cell r="AD214">
            <v>165524980.92041564</v>
          </cell>
          <cell r="AE214">
            <v>147620047.54212105</v>
          </cell>
          <cell r="AF214">
            <v>155128568.05174792</v>
          </cell>
          <cell r="AG214">
            <v>176494422.13987857</v>
          </cell>
          <cell r="AH214">
            <v>172882435.80811709</v>
          </cell>
          <cell r="AI214">
            <v>214877638.37550366</v>
          </cell>
          <cell r="AJ214">
            <v>227540473.34008658</v>
          </cell>
          <cell r="AK214">
            <v>269034595.81298453</v>
          </cell>
          <cell r="AL214">
            <v>300746329.68044204</v>
          </cell>
          <cell r="AM214">
            <v>402836964.47515374</v>
          </cell>
          <cell r="AN214">
            <v>469443201.50327373</v>
          </cell>
          <cell r="AO214">
            <v>510586382.46764374</v>
          </cell>
          <cell r="AP214">
            <v>526554053.17543721</v>
          </cell>
          <cell r="AQ214">
            <v>457579824.38850802</v>
          </cell>
          <cell r="AR214">
            <v>488024547.9927724</v>
          </cell>
          <cell r="AS214">
            <v>419842687.97784501</v>
          </cell>
          <cell r="AT214">
            <v>409508556.61339206</v>
          </cell>
          <cell r="AU214">
            <v>346406733.6035561</v>
          </cell>
          <cell r="AV214">
            <v>417668997.39761525</v>
          </cell>
          <cell r="AW214">
            <v>468005324.46033913</v>
          </cell>
          <cell r="AX214">
            <v>552864568.40229273</v>
          </cell>
          <cell r="AY214">
            <v>617258127.22105742</v>
          </cell>
          <cell r="AZ214">
            <v>695295347.62153685</v>
          </cell>
          <cell r="BA214">
            <v>776337725.1949445</v>
          </cell>
          <cell r="BB214">
            <v>805557595.91560125</v>
          </cell>
          <cell r="BC214">
            <v>898133646.57835221</v>
          </cell>
          <cell r="BD214">
            <v>1063895356.5084078</v>
          </cell>
          <cell r="BE214">
            <v>1185283421.9760034</v>
          </cell>
          <cell r="BF214">
            <v>1285911568.5145178</v>
          </cell>
          <cell r="BG214">
            <v>1335571356.6871419</v>
          </cell>
          <cell r="BH214">
            <v>1307909891.2937517</v>
          </cell>
          <cell r="BI214">
            <v>1379490315.0228646</v>
          </cell>
          <cell r="BJ214">
            <v>1469789050.3085139</v>
          </cell>
          <cell r="BK214">
            <v>1615478421.4597356</v>
          </cell>
          <cell r="BL214">
            <v>1619154958.4023297</v>
          </cell>
          <cell r="BM214">
            <v>1536145831.0639005</v>
          </cell>
        </row>
        <row r="215">
          <cell r="B215" t="str">
            <v>SLE</v>
          </cell>
          <cell r="C215" t="str">
            <v>GDP (current US$)</v>
          </cell>
          <cell r="D215" t="str">
            <v>NY.GDP.MKTP.CD</v>
          </cell>
          <cell r="E215">
            <v>321993630.57324839</v>
          </cell>
          <cell r="F215">
            <v>327818552.99689692</v>
          </cell>
          <cell r="G215">
            <v>342704719.90854156</v>
          </cell>
          <cell r="H215">
            <v>348529805.65082479</v>
          </cell>
          <cell r="I215">
            <v>371829821.98268825</v>
          </cell>
          <cell r="J215">
            <v>359379856.24805748</v>
          </cell>
          <cell r="K215">
            <v>375479849.80806011</v>
          </cell>
          <cell r="L215">
            <v>348795351.16276854</v>
          </cell>
          <cell r="M215">
            <v>329860091.94403678</v>
          </cell>
          <cell r="N215">
            <v>408690163.4760654</v>
          </cell>
          <cell r="O215">
            <v>434410373.76414949</v>
          </cell>
          <cell r="P215">
            <v>419549425.07708561</v>
          </cell>
          <cell r="Q215">
            <v>465381264.33208954</v>
          </cell>
          <cell r="R215">
            <v>575230445.78024137</v>
          </cell>
          <cell r="S215">
            <v>648590794.57527447</v>
          </cell>
          <cell r="T215">
            <v>679336126.55536914</v>
          </cell>
          <cell r="U215">
            <v>594895244.67470992</v>
          </cell>
          <cell r="V215">
            <v>691779749.56229711</v>
          </cell>
          <cell r="W215">
            <v>960725310.97806573</v>
          </cell>
          <cell r="X215">
            <v>1109372098.138788</v>
          </cell>
          <cell r="Y215">
            <v>1100688361.2612565</v>
          </cell>
          <cell r="Z215">
            <v>1114831914.6302061</v>
          </cell>
          <cell r="AA215">
            <v>1295361467.6102314</v>
          </cell>
          <cell r="AB215">
            <v>995104199.78420758</v>
          </cell>
          <cell r="AC215">
            <v>1087471861.9892826</v>
          </cell>
          <cell r="AD215">
            <v>856863164.45539379</v>
          </cell>
          <cell r="AE215">
            <v>490177396.18152434</v>
          </cell>
          <cell r="AF215">
            <v>660115531.97067499</v>
          </cell>
          <cell r="AG215">
            <v>1055081242.2873996</v>
          </cell>
          <cell r="AH215">
            <v>932978182.01438808</v>
          </cell>
          <cell r="AI215">
            <v>649644812.64470685</v>
          </cell>
          <cell r="AJ215">
            <v>780098205.21503556</v>
          </cell>
          <cell r="AK215">
            <v>679997997.59711647</v>
          </cell>
          <cell r="AL215">
            <v>768812334.8017621</v>
          </cell>
          <cell r="AM215">
            <v>911915970.68348396</v>
          </cell>
          <cell r="AN215">
            <v>870758739.40677965</v>
          </cell>
          <cell r="AO215">
            <v>941742152.70989466</v>
          </cell>
          <cell r="AP215">
            <v>850218033.62200713</v>
          </cell>
          <cell r="AQ215">
            <v>672375927.34714758</v>
          </cell>
          <cell r="AR215">
            <v>669384768.87263048</v>
          </cell>
          <cell r="AS215">
            <v>635874002.19874775</v>
          </cell>
          <cell r="AT215">
            <v>1074851475.1787333</v>
          </cell>
          <cell r="AU215">
            <v>1236235826.5840876</v>
          </cell>
          <cell r="AV215">
            <v>1369685676.5620341</v>
          </cell>
          <cell r="AW215">
            <v>1430217080.6648653</v>
          </cell>
          <cell r="AX215">
            <v>1627058706.4762702</v>
          </cell>
          <cell r="AY215">
            <v>1862116164.8034315</v>
          </cell>
          <cell r="AZ215">
            <v>2126679686.0684516</v>
          </cell>
          <cell r="BA215">
            <v>2451896681.9113789</v>
          </cell>
          <cell r="BB215">
            <v>2419014960.199666</v>
          </cell>
          <cell r="BC215">
            <v>2578159479.9008317</v>
          </cell>
          <cell r="BD215">
            <v>2932274241.9741035</v>
          </cell>
          <cell r="BE215">
            <v>3789251962.2758327</v>
          </cell>
          <cell r="BF215">
            <v>4920343203.3026857</v>
          </cell>
          <cell r="BG215">
            <v>5015180836.194953</v>
          </cell>
          <cell r="BH215">
            <v>4252029353.8219075</v>
          </cell>
          <cell r="BI215">
            <v>3862721204.6105175</v>
          </cell>
          <cell r="BJ215">
            <v>3719443317.5241284</v>
          </cell>
          <cell r="BK215">
            <v>4085114542.0683112</v>
          </cell>
          <cell r="BL215">
            <v>4076578653.5471363</v>
          </cell>
          <cell r="BM215">
            <v>4062906363.5562344</v>
          </cell>
        </row>
        <row r="216">
          <cell r="B216" t="str">
            <v>SLV</v>
          </cell>
          <cell r="C216" t="str">
            <v>GDP (current US$)</v>
          </cell>
          <cell r="D216" t="str">
            <v>NY.GDP.MKTP.CD</v>
          </cell>
          <cell r="J216">
            <v>877720000</v>
          </cell>
          <cell r="K216">
            <v>929520000</v>
          </cell>
          <cell r="L216">
            <v>976200000</v>
          </cell>
          <cell r="M216">
            <v>1009760100</v>
          </cell>
          <cell r="N216">
            <v>1049400000.0000001</v>
          </cell>
          <cell r="O216">
            <v>1132920000</v>
          </cell>
          <cell r="P216">
            <v>1186120000</v>
          </cell>
          <cell r="Q216">
            <v>1263720000</v>
          </cell>
          <cell r="R216">
            <v>1442320000</v>
          </cell>
          <cell r="S216">
            <v>1665880000</v>
          </cell>
          <cell r="T216">
            <v>1884120100</v>
          </cell>
          <cell r="U216">
            <v>2328280100</v>
          </cell>
          <cell r="V216">
            <v>2941640100</v>
          </cell>
          <cell r="W216">
            <v>3127960000</v>
          </cell>
          <cell r="X216">
            <v>3463639900</v>
          </cell>
          <cell r="Y216">
            <v>3573959900</v>
          </cell>
          <cell r="Z216">
            <v>3437200200</v>
          </cell>
          <cell r="AA216">
            <v>3399189100</v>
          </cell>
          <cell r="AB216">
            <v>3506347800</v>
          </cell>
          <cell r="AC216">
            <v>3661683400</v>
          </cell>
          <cell r="AD216">
            <v>3800368600</v>
          </cell>
          <cell r="AE216">
            <v>3771663200</v>
          </cell>
          <cell r="AF216">
            <v>3958045800</v>
          </cell>
          <cell r="AG216">
            <v>4189880000</v>
          </cell>
          <cell r="AH216">
            <v>4372215300</v>
          </cell>
          <cell r="AI216">
            <v>4817542204</v>
          </cell>
          <cell r="AJ216">
            <v>5252342400</v>
          </cell>
          <cell r="AK216">
            <v>5813399300</v>
          </cell>
          <cell r="AL216">
            <v>6680269200</v>
          </cell>
          <cell r="AM216">
            <v>7679384000</v>
          </cell>
          <cell r="AN216">
            <v>8921947100</v>
          </cell>
          <cell r="AO216">
            <v>9586327800</v>
          </cell>
          <cell r="AP216">
            <v>10221705900</v>
          </cell>
          <cell r="AQ216">
            <v>10936669900</v>
          </cell>
          <cell r="AR216">
            <v>11284197000</v>
          </cell>
          <cell r="AS216">
            <v>11784927700</v>
          </cell>
          <cell r="AT216">
            <v>12282533600</v>
          </cell>
          <cell r="AU216">
            <v>12664190300</v>
          </cell>
          <cell r="AV216">
            <v>13243892200</v>
          </cell>
          <cell r="AW216">
            <v>13724810900</v>
          </cell>
          <cell r="AX216">
            <v>14698000000</v>
          </cell>
          <cell r="AY216">
            <v>15999890000</v>
          </cell>
          <cell r="AZ216">
            <v>17011750000</v>
          </cell>
          <cell r="BA216">
            <v>17986890000</v>
          </cell>
          <cell r="BB216">
            <v>17601620000</v>
          </cell>
          <cell r="BC216">
            <v>18447920000</v>
          </cell>
          <cell r="BD216">
            <v>20283780000</v>
          </cell>
          <cell r="BE216">
            <v>21386150000</v>
          </cell>
          <cell r="BF216">
            <v>21990960000</v>
          </cell>
          <cell r="BG216">
            <v>22593470000</v>
          </cell>
          <cell r="BH216">
            <v>23438240000</v>
          </cell>
          <cell r="BI216">
            <v>24191430000</v>
          </cell>
          <cell r="BJ216">
            <v>24979190000</v>
          </cell>
          <cell r="BK216">
            <v>26020850000</v>
          </cell>
          <cell r="BL216">
            <v>26881140000</v>
          </cell>
          <cell r="BM216">
            <v>24930080000</v>
          </cell>
        </row>
        <row r="217">
          <cell r="B217" t="str">
            <v>SMR</v>
          </cell>
          <cell r="C217" t="str">
            <v>GDP (current US$)</v>
          </cell>
          <cell r="D217" t="str">
            <v>NY.GDP.MKTP.CD</v>
          </cell>
          <cell r="AR217">
            <v>1109098657.5751119</v>
          </cell>
          <cell r="AS217">
            <v>1005159388.2439654</v>
          </cell>
          <cell r="AT217">
            <v>1077413479.0528233</v>
          </cell>
          <cell r="AU217">
            <v>1168269230.7692308</v>
          </cell>
          <cell r="AV217">
            <v>1464326160.815402</v>
          </cell>
          <cell r="AW217">
            <v>1723750000</v>
          </cell>
          <cell r="AX217">
            <v>1785847531.401567</v>
          </cell>
          <cell r="AY217">
            <v>1908167105.758374</v>
          </cell>
          <cell r="AZ217">
            <v>2185874623.5970435</v>
          </cell>
          <cell r="BA217">
            <v>2393437820.4189248</v>
          </cell>
          <cell r="BB217">
            <v>2056126701.8616283</v>
          </cell>
          <cell r="BC217">
            <v>1881191950.0000036</v>
          </cell>
          <cell r="BD217">
            <v>1813717694.5525327</v>
          </cell>
          <cell r="BE217">
            <v>1604701051.1718755</v>
          </cell>
          <cell r="BF217">
            <v>1678741201.5686321</v>
          </cell>
          <cell r="BG217">
            <v>1673910988.2352881</v>
          </cell>
          <cell r="BH217">
            <v>1419400403.8233864</v>
          </cell>
          <cell r="BI217">
            <v>1468342430.6883647</v>
          </cell>
          <cell r="BJ217">
            <v>1528621195.4584899</v>
          </cell>
          <cell r="BK217">
            <v>1655354303.8288491</v>
          </cell>
          <cell r="BL217">
            <v>1616188702.3440502</v>
          </cell>
          <cell r="BM217">
            <v>1541247884.0020726</v>
          </cell>
        </row>
        <row r="218">
          <cell r="B218" t="str">
            <v>SOM</v>
          </cell>
          <cell r="C218" t="str">
            <v>GDP (current US$)</v>
          </cell>
          <cell r="D218" t="str">
            <v>NY.GDP.MKTP.CD</v>
          </cell>
          <cell r="E218">
            <v>180459936.62082973</v>
          </cell>
          <cell r="F218">
            <v>191659914.2112067</v>
          </cell>
          <cell r="G218">
            <v>203531927.37219152</v>
          </cell>
          <cell r="H218">
            <v>216145935.75574011</v>
          </cell>
          <cell r="I218">
            <v>229529912.4706392</v>
          </cell>
          <cell r="J218">
            <v>243725897.8200365</v>
          </cell>
          <cell r="K218">
            <v>257375896.82829788</v>
          </cell>
          <cell r="L218">
            <v>271781886.57351285</v>
          </cell>
          <cell r="M218">
            <v>286719885.06546676</v>
          </cell>
          <cell r="N218">
            <v>306357284.5714286</v>
          </cell>
          <cell r="O218">
            <v>322600009.14285713</v>
          </cell>
          <cell r="P218">
            <v>331104677.24256843</v>
          </cell>
          <cell r="Q218">
            <v>416940943.667476</v>
          </cell>
          <cell r="R218">
            <v>507028428.32237971</v>
          </cell>
          <cell r="S218">
            <v>467577432.32209331</v>
          </cell>
          <cell r="T218">
            <v>710850226.64191425</v>
          </cell>
          <cell r="U218">
            <v>807275808.8653338</v>
          </cell>
          <cell r="V218">
            <v>498550873.04347825</v>
          </cell>
          <cell r="W218">
            <v>564986059.66850829</v>
          </cell>
          <cell r="X218">
            <v>590419855.11811018</v>
          </cell>
          <cell r="Y218">
            <v>603592656.82220912</v>
          </cell>
          <cell r="Z218">
            <v>699112266.83576417</v>
          </cell>
          <cell r="AA218">
            <v>774419569.69906604</v>
          </cell>
          <cell r="AB218">
            <v>733901365.93535423</v>
          </cell>
          <cell r="AC218">
            <v>788307213.43823516</v>
          </cell>
          <cell r="AD218">
            <v>876404617.6565007</v>
          </cell>
          <cell r="AE218">
            <v>930318705.30133498</v>
          </cell>
          <cell r="AF218">
            <v>1009792724.4217484</v>
          </cell>
          <cell r="AG218">
            <v>1038291284.4969462</v>
          </cell>
          <cell r="AH218">
            <v>1092392963.1950953</v>
          </cell>
          <cell r="AI218">
            <v>917044228.00845969</v>
          </cell>
          <cell r="BF218">
            <v>4577000011.760169</v>
          </cell>
          <cell r="BG218">
            <v>5024999991.7206078</v>
          </cell>
          <cell r="BH218">
            <v>5335000000</v>
          </cell>
          <cell r="BI218">
            <v>5534000000</v>
          </cell>
          <cell r="BJ218">
            <v>5609000000</v>
          </cell>
          <cell r="BK218">
            <v>5856000006.2202091</v>
          </cell>
          <cell r="BL218">
            <v>6485000000</v>
          </cell>
          <cell r="BM218">
            <v>6883000000</v>
          </cell>
        </row>
        <row r="219">
          <cell r="B219" t="str">
            <v>SRB</v>
          </cell>
          <cell r="C219" t="str">
            <v>GDP (current US$)</v>
          </cell>
          <cell r="D219" t="str">
            <v>NY.GDP.MKTP.CD</v>
          </cell>
          <cell r="AN219">
            <v>16832598870.056498</v>
          </cell>
          <cell r="AO219">
            <v>21818007448.78957</v>
          </cell>
          <cell r="AP219">
            <v>25676487999.594067</v>
          </cell>
          <cell r="AQ219">
            <v>19457979423.376003</v>
          </cell>
          <cell r="AR219">
            <v>19388663551.001156</v>
          </cell>
          <cell r="AS219">
            <v>6875845986.5212088</v>
          </cell>
          <cell r="AT219">
            <v>12960546471.378193</v>
          </cell>
          <cell r="AU219">
            <v>17120906918.350328</v>
          </cell>
          <cell r="AV219">
            <v>22482365321.765587</v>
          </cell>
          <cell r="AW219">
            <v>26141968161.092403</v>
          </cell>
          <cell r="AX219">
            <v>27683225959.246811</v>
          </cell>
          <cell r="AY219">
            <v>32482070360.320381</v>
          </cell>
          <cell r="AZ219">
            <v>43170990616.472923</v>
          </cell>
          <cell r="BA219">
            <v>52194221468.500725</v>
          </cell>
          <cell r="BB219">
            <v>45162894380.931801</v>
          </cell>
          <cell r="BC219">
            <v>41819468691.82505</v>
          </cell>
          <cell r="BD219">
            <v>49258136128.967155</v>
          </cell>
          <cell r="BE219">
            <v>43309252921.056732</v>
          </cell>
          <cell r="BF219">
            <v>48394239474.676163</v>
          </cell>
          <cell r="BG219">
            <v>47062202241.43782</v>
          </cell>
          <cell r="BH219">
            <v>39655949731.381615</v>
          </cell>
          <cell r="BI219">
            <v>40692661657.283997</v>
          </cell>
          <cell r="BJ219">
            <v>44179075778.926743</v>
          </cell>
          <cell r="BK219">
            <v>50640662859.498726</v>
          </cell>
          <cell r="BL219">
            <v>51514242775.524086</v>
          </cell>
          <cell r="BM219">
            <v>53356484763.839027</v>
          </cell>
        </row>
        <row r="220">
          <cell r="B220" t="str">
            <v>SSA</v>
          </cell>
          <cell r="C220" t="str">
            <v>GDP (current US$)</v>
          </cell>
          <cell r="D220" t="str">
            <v>NY.GDP.MKTP.CD</v>
          </cell>
          <cell r="E220">
            <v>31027714943.157513</v>
          </cell>
          <cell r="F220">
            <v>32263804167.374622</v>
          </cell>
          <cell r="G220">
            <v>34913239385.50383</v>
          </cell>
          <cell r="H220">
            <v>39962028720.746338</v>
          </cell>
          <cell r="I220">
            <v>39224536060.354805</v>
          </cell>
          <cell r="J220">
            <v>43662665168.751122</v>
          </cell>
          <cell r="K220">
            <v>47099671961.870415</v>
          </cell>
          <cell r="L220">
            <v>46766192279.437935</v>
          </cell>
          <cell r="M220">
            <v>50111072585.353035</v>
          </cell>
          <cell r="N220">
            <v>57246081129.950302</v>
          </cell>
          <cell r="O220">
            <v>67248358817.601158</v>
          </cell>
          <cell r="P220">
            <v>68555667236.627762</v>
          </cell>
          <cell r="Q220">
            <v>77082698723.183258</v>
          </cell>
          <cell r="R220">
            <v>99480296893.042068</v>
          </cell>
          <cell r="S220">
            <v>127850076182.42305</v>
          </cell>
          <cell r="T220">
            <v>140842882957.69272</v>
          </cell>
          <cell r="U220">
            <v>151949762433.18961</v>
          </cell>
          <cell r="V220">
            <v>166682438981.62729</v>
          </cell>
          <cell r="W220">
            <v>185998188491.49222</v>
          </cell>
          <cell r="X220">
            <v>221888413697.26181</v>
          </cell>
          <cell r="Y220">
            <v>281896939235.68549</v>
          </cell>
          <cell r="Z220">
            <v>389734246636.87061</v>
          </cell>
          <cell r="AA220">
            <v>357608755228.59528</v>
          </cell>
          <cell r="AB220">
            <v>314695230286.81958</v>
          </cell>
          <cell r="AC220">
            <v>275527482096.39862</v>
          </cell>
          <cell r="AD220">
            <v>254278552801.71677</v>
          </cell>
          <cell r="AE220">
            <v>261182778464.13776</v>
          </cell>
          <cell r="AF220">
            <v>296944898332.11188</v>
          </cell>
          <cell r="AG220">
            <v>313276890344.11432</v>
          </cell>
          <cell r="AH220">
            <v>319238233553.95563</v>
          </cell>
          <cell r="AI220">
            <v>375031690306.90692</v>
          </cell>
          <cell r="AJ220">
            <v>393057781842.0813</v>
          </cell>
          <cell r="AK220">
            <v>363398293662.59692</v>
          </cell>
          <cell r="AL220">
            <v>340402814717.36554</v>
          </cell>
          <cell r="AM220">
            <v>324340772654.15381</v>
          </cell>
          <cell r="AN220">
            <v>377022370501.93524</v>
          </cell>
          <cell r="AO220">
            <v>393974496885.45636</v>
          </cell>
          <cell r="AP220">
            <v>409061975713.87177</v>
          </cell>
          <cell r="AQ220">
            <v>395484290671.91101</v>
          </cell>
          <cell r="AR220">
            <v>399358172061.34906</v>
          </cell>
          <cell r="AS220">
            <v>423785327342.33667</v>
          </cell>
          <cell r="AT220">
            <v>406642457658.92816</v>
          </cell>
          <cell r="AU220">
            <v>442445993204.25714</v>
          </cell>
          <cell r="AV220">
            <v>557495188798.27258</v>
          </cell>
          <cell r="AW220">
            <v>692416392727.32434</v>
          </cell>
          <cell r="AX220">
            <v>822378325932.18567</v>
          </cell>
          <cell r="AY220">
            <v>972440937663.84814</v>
          </cell>
          <cell r="AZ220">
            <v>1126288215958.8279</v>
          </cell>
          <cell r="BA220">
            <v>1277264006648.2043</v>
          </cell>
          <cell r="BB220">
            <v>1229155220209.9429</v>
          </cell>
          <cell r="BC220">
            <v>1460726974193.6492</v>
          </cell>
          <cell r="BD220">
            <v>1648437203064.262</v>
          </cell>
          <cell r="BE220">
            <v>1711634494143.7334</v>
          </cell>
          <cell r="BF220">
            <v>1818610270272.4182</v>
          </cell>
          <cell r="BG220">
            <v>1899461295889.2517</v>
          </cell>
          <cell r="BH220">
            <v>1694601782532.8965</v>
          </cell>
          <cell r="BI220">
            <v>1575080887302.1497</v>
          </cell>
          <cell r="BJ220">
            <v>1704412183051.2266</v>
          </cell>
          <cell r="BK220">
            <v>1772634125817.1646</v>
          </cell>
          <cell r="BL220">
            <v>1821727380112.9546</v>
          </cell>
          <cell r="BM220">
            <v>1712869841645.042</v>
          </cell>
        </row>
        <row r="221">
          <cell r="B221" t="str">
            <v>SSD</v>
          </cell>
          <cell r="C221" t="str">
            <v>GDP (current US$)</v>
          </cell>
          <cell r="D221" t="str">
            <v>NY.GDP.MKTP.CD</v>
          </cell>
          <cell r="BA221">
            <v>14586253383.063168</v>
          </cell>
          <cell r="BB221">
            <v>12231264525.067104</v>
          </cell>
          <cell r="BC221">
            <v>14602072410.950586</v>
          </cell>
          <cell r="BD221">
            <v>14907308932.753429</v>
          </cell>
          <cell r="BE221">
            <v>11931472169.491526</v>
          </cell>
          <cell r="BF221">
            <v>18426469016.94915</v>
          </cell>
          <cell r="BG221">
            <v>13962212847.457626</v>
          </cell>
          <cell r="BH221">
            <v>11997800760.224182</v>
          </cell>
        </row>
        <row r="222">
          <cell r="B222" t="str">
            <v>SSF</v>
          </cell>
          <cell r="C222" t="str">
            <v>GDP (current US$)</v>
          </cell>
          <cell r="D222" t="str">
            <v>NY.GDP.MKTP.CD</v>
          </cell>
          <cell r="E222">
            <v>31038651924.715557</v>
          </cell>
          <cell r="F222">
            <v>32274153936.368973</v>
          </cell>
          <cell r="G222">
            <v>34924550100.162498</v>
          </cell>
          <cell r="H222">
            <v>39974355837.202454</v>
          </cell>
          <cell r="I222">
            <v>39238590134.768967</v>
          </cell>
          <cell r="J222">
            <v>43676575967.691147</v>
          </cell>
          <cell r="K222">
            <v>47114238410.838638</v>
          </cell>
          <cell r="L222">
            <v>46781000881.708031</v>
          </cell>
          <cell r="M222">
            <v>50124977708.063507</v>
          </cell>
          <cell r="N222">
            <v>57259820309.899216</v>
          </cell>
          <cell r="O222">
            <v>67263493916.489487</v>
          </cell>
          <cell r="P222">
            <v>68574658267.43898</v>
          </cell>
          <cell r="Q222">
            <v>77110721964.552673</v>
          </cell>
          <cell r="R222">
            <v>99513486866.777237</v>
          </cell>
          <cell r="S222">
            <v>127887926562.71622</v>
          </cell>
          <cell r="T222">
            <v>140884899647.39825</v>
          </cell>
          <cell r="U222">
            <v>151992519730.33966</v>
          </cell>
          <cell r="V222">
            <v>166741023605.7514</v>
          </cell>
          <cell r="W222">
            <v>186078689801.53702</v>
          </cell>
          <cell r="X222">
            <v>222012586577.62979</v>
          </cell>
          <cell r="Y222">
            <v>282049229145.84827</v>
          </cell>
          <cell r="Z222">
            <v>389887980091.44092</v>
          </cell>
          <cell r="AA222">
            <v>357757127665.33124</v>
          </cell>
          <cell r="AB222">
            <v>314844448352.91589</v>
          </cell>
          <cell r="AC222">
            <v>275683682181.11804</v>
          </cell>
          <cell r="AD222">
            <v>254455395790.09988</v>
          </cell>
          <cell r="AE222">
            <v>261402850880.42862</v>
          </cell>
          <cell r="AF222">
            <v>297209471954.19214</v>
          </cell>
          <cell r="AG222">
            <v>313579138925.44617</v>
          </cell>
          <cell r="AH222">
            <v>319563247910.20972</v>
          </cell>
          <cell r="AI222">
            <v>375424931159.04108</v>
          </cell>
          <cell r="AJ222">
            <v>393456869265.36847</v>
          </cell>
          <cell r="AK222">
            <v>363862082115.38849</v>
          </cell>
          <cell r="AL222">
            <v>340910457626.42737</v>
          </cell>
          <cell r="AM222">
            <v>324862204377.18195</v>
          </cell>
          <cell r="AN222">
            <v>377566591336.15814</v>
          </cell>
          <cell r="AO222">
            <v>394512902071.40607</v>
          </cell>
          <cell r="AP222">
            <v>409664928804.90485</v>
          </cell>
          <cell r="AQ222">
            <v>396136552874.17236</v>
          </cell>
          <cell r="AR222">
            <v>400026185636.78223</v>
          </cell>
          <cell r="AS222">
            <v>424444223042.83057</v>
          </cell>
          <cell r="AT222">
            <v>407309506890.50122</v>
          </cell>
          <cell r="AU222">
            <v>443193859516.71527</v>
          </cell>
          <cell r="AV222">
            <v>558250655633.10706</v>
          </cell>
          <cell r="AW222">
            <v>693314583942.31641</v>
          </cell>
          <cell r="AX222">
            <v>823361208064.24561</v>
          </cell>
          <cell r="AY222">
            <v>973527213201.0238</v>
          </cell>
          <cell r="AZ222">
            <v>1127368649186.123</v>
          </cell>
          <cell r="BA222">
            <v>1278243727731.7725</v>
          </cell>
          <cell r="BB222">
            <v>1230006172548.7014</v>
          </cell>
          <cell r="BC222">
            <v>1461708684777.312</v>
          </cell>
          <cell r="BD222">
            <v>1649496095768.7444</v>
          </cell>
          <cell r="BE222">
            <v>1712723978723.0366</v>
          </cell>
          <cell r="BF222">
            <v>1819935185494.1387</v>
          </cell>
          <cell r="BG222">
            <v>1900848872303.1101</v>
          </cell>
          <cell r="BH222">
            <v>1695993210500.2317</v>
          </cell>
          <cell r="BI222">
            <v>1576539841411.9683</v>
          </cell>
          <cell r="BJ222">
            <v>1705941956337.7234</v>
          </cell>
          <cell r="BK222">
            <v>1774221939062.4463</v>
          </cell>
          <cell r="BL222">
            <v>1823372470680.0005</v>
          </cell>
          <cell r="BM222">
            <v>1714053357042.6907</v>
          </cell>
        </row>
        <row r="223">
          <cell r="B223" t="str">
            <v>SST</v>
          </cell>
          <cell r="C223" t="str">
            <v>GDP (current US$)</v>
          </cell>
          <cell r="D223" t="str">
            <v>NY.GDP.MKTP.CD</v>
          </cell>
          <cell r="O223">
            <v>7870516442.7003012</v>
          </cell>
          <cell r="P223">
            <v>8854444228.0163097</v>
          </cell>
          <cell r="Q223">
            <v>10432353641.969664</v>
          </cell>
          <cell r="R223">
            <v>13000903185.426626</v>
          </cell>
          <cell r="S223">
            <v>20195896869.208935</v>
          </cell>
          <cell r="T223">
            <v>22990972083.895367</v>
          </cell>
          <cell r="U223">
            <v>26244271976.958973</v>
          </cell>
          <cell r="V223">
            <v>29802486040.866501</v>
          </cell>
          <cell r="W223">
            <v>32042454157.240643</v>
          </cell>
          <cell r="X223">
            <v>39764312931.061882</v>
          </cell>
          <cell r="Y223">
            <v>52929369092.320961</v>
          </cell>
          <cell r="Z223">
            <v>54690453042.737907</v>
          </cell>
          <cell r="AA223">
            <v>54430175682.798683</v>
          </cell>
          <cell r="AB223">
            <v>52658286980.575859</v>
          </cell>
          <cell r="AC223">
            <v>52176614051.187866</v>
          </cell>
          <cell r="AD223">
            <v>50257275477.24707</v>
          </cell>
          <cell r="AE223">
            <v>49329292752.896187</v>
          </cell>
          <cell r="AF223">
            <v>56349718832.880447</v>
          </cell>
          <cell r="AG223">
            <v>62054839423.069107</v>
          </cell>
          <cell r="AH223">
            <v>64562256112.874069</v>
          </cell>
          <cell r="AI223">
            <v>74906851774.976135</v>
          </cell>
          <cell r="AJ223">
            <v>76506139354.827484</v>
          </cell>
          <cell r="AK223">
            <v>81410676569.045502</v>
          </cell>
          <cell r="AL223">
            <v>80324622895.990555</v>
          </cell>
          <cell r="AM223">
            <v>84517547648.952087</v>
          </cell>
          <cell r="AN223">
            <v>95833246426.512909</v>
          </cell>
          <cell r="AO223">
            <v>101908296167.18381</v>
          </cell>
          <cell r="AP223">
            <v>109151101381.79111</v>
          </cell>
          <cell r="AQ223">
            <v>109039291186.28769</v>
          </cell>
          <cell r="AR223">
            <v>116942513682.56406</v>
          </cell>
          <cell r="AS223">
            <v>129662529705.50287</v>
          </cell>
          <cell r="AT223">
            <v>130206285495.1071</v>
          </cell>
          <cell r="AU223">
            <v>139256082315.69421</v>
          </cell>
          <cell r="AV223">
            <v>166347398195.54794</v>
          </cell>
          <cell r="AW223">
            <v>200138874578.17746</v>
          </cell>
          <cell r="AX223">
            <v>238393416493.65918</v>
          </cell>
          <cell r="AY223">
            <v>277387442226.42487</v>
          </cell>
          <cell r="AZ223">
            <v>332461229660.50891</v>
          </cell>
          <cell r="BA223">
            <v>400481612490.77557</v>
          </cell>
          <cell r="BB223">
            <v>343064897906.73236</v>
          </cell>
          <cell r="BC223">
            <v>394134704446.14783</v>
          </cell>
          <cell r="BD223">
            <v>474785544180.85974</v>
          </cell>
          <cell r="BE223">
            <v>496043381693.94025</v>
          </cell>
          <cell r="BF223">
            <v>515807509296.91345</v>
          </cell>
          <cell r="BG223">
            <v>532806126587.15582</v>
          </cell>
          <cell r="BH223">
            <v>454984827185.88214</v>
          </cell>
          <cell r="BI223">
            <v>446993497560.63245</v>
          </cell>
          <cell r="BJ223">
            <v>482865468720.1601</v>
          </cell>
          <cell r="BK223">
            <v>530086499061.06287</v>
          </cell>
          <cell r="BL223">
            <v>522141646080.05328</v>
          </cell>
          <cell r="BM223">
            <v>453727992926.42731</v>
          </cell>
        </row>
        <row r="224">
          <cell r="B224" t="str">
            <v>STP</v>
          </cell>
          <cell r="C224" t="str">
            <v>GDP (current US$)</v>
          </cell>
          <cell r="D224" t="str">
            <v>NY.GDP.MKTP.CD</v>
          </cell>
          <cell r="AT224">
            <v>75951131.946176842</v>
          </cell>
          <cell r="AU224">
            <v>85171073.877749756</v>
          </cell>
          <cell r="AV224">
            <v>102085765.48305717</v>
          </cell>
          <cell r="AW224">
            <v>114582281.98783968</v>
          </cell>
          <cell r="AX224">
            <v>136450658.0826098</v>
          </cell>
          <cell r="AY224">
            <v>142775109.81619081</v>
          </cell>
          <cell r="AZ224">
            <v>149146918.88861105</v>
          </cell>
          <cell r="BA224">
            <v>188021169.26829022</v>
          </cell>
          <cell r="BB224">
            <v>187821029.42854619</v>
          </cell>
          <cell r="BC224">
            <v>196652514.26725528</v>
          </cell>
          <cell r="BD224">
            <v>231489270.14452913</v>
          </cell>
          <cell r="BE224">
            <v>250680845.74783722</v>
          </cell>
          <cell r="BF224">
            <v>300554483.61162645</v>
          </cell>
          <cell r="BG224">
            <v>346528329.1832267</v>
          </cell>
          <cell r="BH224">
            <v>316066072.34375423</v>
          </cell>
          <cell r="BI224">
            <v>345495614.97998238</v>
          </cell>
          <cell r="BJ224">
            <v>375614126.19387698</v>
          </cell>
          <cell r="BK224">
            <v>412253809.72879899</v>
          </cell>
          <cell r="BL224">
            <v>427425039.68433946</v>
          </cell>
          <cell r="BM224">
            <v>472551023.61041892</v>
          </cell>
        </row>
        <row r="225">
          <cell r="B225" t="str">
            <v>SUR</v>
          </cell>
          <cell r="C225" t="str">
            <v>GDP (current US$)</v>
          </cell>
          <cell r="D225" t="str">
            <v>NY.GDP.MKTP.CD</v>
          </cell>
          <cell r="E225">
            <v>99650000</v>
          </cell>
          <cell r="F225">
            <v>107700000</v>
          </cell>
          <cell r="G225">
            <v>116150000</v>
          </cell>
          <cell r="H225">
            <v>125950000</v>
          </cell>
          <cell r="I225">
            <v>134400000</v>
          </cell>
          <cell r="J225">
            <v>154150000</v>
          </cell>
          <cell r="K225">
            <v>190350000</v>
          </cell>
          <cell r="L225">
            <v>220700000</v>
          </cell>
          <cell r="M225">
            <v>241350000</v>
          </cell>
          <cell r="N225">
            <v>259650000</v>
          </cell>
          <cell r="O225">
            <v>274900000</v>
          </cell>
          <cell r="P225">
            <v>301000000</v>
          </cell>
          <cell r="Q225">
            <v>311950000</v>
          </cell>
          <cell r="R225">
            <v>339449999.99999994</v>
          </cell>
          <cell r="S225">
            <v>409850000</v>
          </cell>
          <cell r="T225">
            <v>465500000.00000006</v>
          </cell>
          <cell r="U225">
            <v>505499999.99999994</v>
          </cell>
          <cell r="V225">
            <v>641500000</v>
          </cell>
          <cell r="W225">
            <v>735500000</v>
          </cell>
          <cell r="X225">
            <v>782500000</v>
          </cell>
          <cell r="Y225">
            <v>795000000</v>
          </cell>
          <cell r="Z225">
            <v>889000000</v>
          </cell>
          <cell r="AA225">
            <v>915000000</v>
          </cell>
          <cell r="AB225">
            <v>883500000</v>
          </cell>
          <cell r="AC225">
            <v>864000000</v>
          </cell>
          <cell r="AD225">
            <v>873000000</v>
          </cell>
          <cell r="AE225">
            <v>891000000</v>
          </cell>
          <cell r="AF225">
            <v>980000000</v>
          </cell>
          <cell r="AG225">
            <v>1161000000</v>
          </cell>
          <cell r="AH225">
            <v>542600000</v>
          </cell>
          <cell r="AI225">
            <v>388400000</v>
          </cell>
          <cell r="AJ225">
            <v>448100000</v>
          </cell>
          <cell r="AK225">
            <v>404600000</v>
          </cell>
          <cell r="AL225">
            <v>428764705.88235289</v>
          </cell>
          <cell r="AM225">
            <v>605492537.31343281</v>
          </cell>
          <cell r="AN225">
            <v>691590497.73755658</v>
          </cell>
          <cell r="AO225">
            <v>861372046.45405817</v>
          </cell>
          <cell r="AP225">
            <v>926422500</v>
          </cell>
          <cell r="AQ225">
            <v>1110850000</v>
          </cell>
          <cell r="AR225">
            <v>886290697.67441857</v>
          </cell>
          <cell r="AS225">
            <v>947671969.69696963</v>
          </cell>
          <cell r="AT225">
            <v>834279357.79816508</v>
          </cell>
          <cell r="AU225">
            <v>1093574468.0851064</v>
          </cell>
          <cell r="AV225">
            <v>1274190311.4186852</v>
          </cell>
          <cell r="AW225">
            <v>1484092538.405267</v>
          </cell>
          <cell r="AX225">
            <v>1793410617.0093458</v>
          </cell>
          <cell r="AY225">
            <v>2626380435.1787729</v>
          </cell>
          <cell r="AZ225">
            <v>2936612021.8579235</v>
          </cell>
          <cell r="BA225">
            <v>3532969034.6083789</v>
          </cell>
          <cell r="BB225">
            <v>3875409836.0655737</v>
          </cell>
          <cell r="BC225">
            <v>4368371528.3047447</v>
          </cell>
          <cell r="BD225">
            <v>4422276621.7870264</v>
          </cell>
          <cell r="BE225">
            <v>4980000000</v>
          </cell>
          <cell r="BF225">
            <v>5145757575.757576</v>
          </cell>
          <cell r="BG225">
            <v>5240606060.606061</v>
          </cell>
          <cell r="BH225">
            <v>5126238146.3414583</v>
          </cell>
          <cell r="BI225">
            <v>3317421499.7731414</v>
          </cell>
          <cell r="BJ225">
            <v>3591679371.0399122</v>
          </cell>
          <cell r="BK225">
            <v>3996198760.3238931</v>
          </cell>
          <cell r="BL225">
            <v>4016040575.0879593</v>
          </cell>
          <cell r="BM225">
            <v>2911807496.2022653</v>
          </cell>
        </row>
        <row r="226">
          <cell r="B226" t="str">
            <v>SVK</v>
          </cell>
          <cell r="C226" t="str">
            <v>GDP (current US$)</v>
          </cell>
          <cell r="D226" t="str">
            <v>NY.GDP.MKTP.CD</v>
          </cell>
          <cell r="AI226">
            <v>12747380650.076181</v>
          </cell>
          <cell r="AJ226">
            <v>14272201755.470392</v>
          </cell>
          <cell r="AK226">
            <v>15495514296.804243</v>
          </cell>
          <cell r="AL226">
            <v>16520676973.5301</v>
          </cell>
          <cell r="AM226">
            <v>20162936291.375015</v>
          </cell>
          <cell r="AN226">
            <v>25840146405.228756</v>
          </cell>
          <cell r="AO226">
            <v>27925036755.386562</v>
          </cell>
          <cell r="AP226">
            <v>27706028095.615723</v>
          </cell>
          <cell r="AQ226">
            <v>29856000671.216019</v>
          </cell>
          <cell r="AR226">
            <v>30463670123.593117</v>
          </cell>
          <cell r="AS226">
            <v>29242558796.550652</v>
          </cell>
          <cell r="AT226">
            <v>30778781606.95752</v>
          </cell>
          <cell r="AU226">
            <v>35297794385.68634</v>
          </cell>
          <cell r="AV226">
            <v>46919965224.149704</v>
          </cell>
          <cell r="AW226">
            <v>57437444469.087021</v>
          </cell>
          <cell r="AX226">
            <v>62808723476.71904</v>
          </cell>
          <cell r="AY226">
            <v>70767338922.441071</v>
          </cell>
          <cell r="AZ226">
            <v>86563986799.250473</v>
          </cell>
          <cell r="BA226">
            <v>100879902984.98279</v>
          </cell>
          <cell r="BB226">
            <v>89399303222.155014</v>
          </cell>
          <cell r="BC226">
            <v>91162836320.352356</v>
          </cell>
          <cell r="BD226">
            <v>99922685424.884155</v>
          </cell>
          <cell r="BE226">
            <v>94623731085.610565</v>
          </cell>
          <cell r="BF226">
            <v>98935222174.861069</v>
          </cell>
          <cell r="BG226">
            <v>101437045019.8992</v>
          </cell>
          <cell r="BH226">
            <v>88900883130.837448</v>
          </cell>
          <cell r="BI226">
            <v>89952699524.896484</v>
          </cell>
          <cell r="BJ226">
            <v>95649966260.981033</v>
          </cell>
          <cell r="BK226">
            <v>106137924015.59097</v>
          </cell>
          <cell r="BL226">
            <v>105710052464.6254</v>
          </cell>
          <cell r="BM226">
            <v>106728917483.03349</v>
          </cell>
        </row>
        <row r="227">
          <cell r="B227" t="str">
            <v>SVN</v>
          </cell>
          <cell r="C227" t="str">
            <v>GDP (current US$)</v>
          </cell>
          <cell r="D227" t="str">
            <v>NY.GDP.MKTP.CD</v>
          </cell>
          <cell r="AN227">
            <v>21352224019.409626</v>
          </cell>
          <cell r="AO227">
            <v>21507232648.725212</v>
          </cell>
          <cell r="AP227">
            <v>20763101740.696278</v>
          </cell>
          <cell r="AQ227">
            <v>22146231967.686092</v>
          </cell>
          <cell r="AR227">
            <v>22711384311.140411</v>
          </cell>
          <cell r="AS227">
            <v>20289627636.676712</v>
          </cell>
          <cell r="AT227">
            <v>20876309970.384998</v>
          </cell>
          <cell r="AU227">
            <v>23489890274.314217</v>
          </cell>
          <cell r="AV227">
            <v>29634713641.096844</v>
          </cell>
          <cell r="AW227">
            <v>34414784504.235176</v>
          </cell>
          <cell r="AX227">
            <v>36206395970.650414</v>
          </cell>
          <cell r="AY227">
            <v>39481045038.263702</v>
          </cell>
          <cell r="AZ227">
            <v>48067401207.397804</v>
          </cell>
          <cell r="BA227">
            <v>55779427739.660927</v>
          </cell>
          <cell r="BB227">
            <v>50567734885.961296</v>
          </cell>
          <cell r="BC227">
            <v>48208240226.451241</v>
          </cell>
          <cell r="BD227">
            <v>51583869785.185287</v>
          </cell>
          <cell r="BE227">
            <v>46577793184.003136</v>
          </cell>
          <cell r="BF227">
            <v>48415657264.876205</v>
          </cell>
          <cell r="BG227">
            <v>49997186439.09079</v>
          </cell>
          <cell r="BH227">
            <v>43107506024.325371</v>
          </cell>
          <cell r="BI227">
            <v>44766722790.583839</v>
          </cell>
          <cell r="BJ227">
            <v>48589100043.095818</v>
          </cell>
          <cell r="BK227">
            <v>54177882425.842133</v>
          </cell>
          <cell r="BL227">
            <v>54331588482.304825</v>
          </cell>
          <cell r="BM227">
            <v>53706800043.683273</v>
          </cell>
        </row>
        <row r="228">
          <cell r="B228" t="str">
            <v>SWE</v>
          </cell>
          <cell r="C228" t="str">
            <v>GDP (current US$)</v>
          </cell>
          <cell r="D228" t="str">
            <v>NY.GDP.MKTP.CD</v>
          </cell>
          <cell r="E228">
            <v>15822585461.245344</v>
          </cell>
          <cell r="F228">
            <v>17212687079.814629</v>
          </cell>
          <cell r="G228">
            <v>18667251884.632103</v>
          </cell>
          <cell r="H228">
            <v>20204871175.861954</v>
          </cell>
          <cell r="I228">
            <v>22532417359.04158</v>
          </cell>
          <cell r="J228">
            <v>24795500355.973015</v>
          </cell>
          <cell r="K228">
            <v>26971487275.297604</v>
          </cell>
          <cell r="L228">
            <v>29275996465.990189</v>
          </cell>
          <cell r="M228">
            <v>31066820768.99094</v>
          </cell>
          <cell r="N228">
            <v>33738103394.06361</v>
          </cell>
          <cell r="O228">
            <v>38092378395.81855</v>
          </cell>
          <cell r="P228">
            <v>41566370370.151596</v>
          </cell>
          <cell r="Q228">
            <v>48953974498.021759</v>
          </cell>
          <cell r="R228">
            <v>59404966684.221367</v>
          </cell>
          <cell r="S228">
            <v>66012967234.723633</v>
          </cell>
          <cell r="T228">
            <v>82885563989.190903</v>
          </cell>
          <cell r="U228">
            <v>89362242653.577301</v>
          </cell>
          <cell r="V228">
            <v>94467862578.884048</v>
          </cell>
          <cell r="W228">
            <v>104442929108.70213</v>
          </cell>
          <cell r="X228">
            <v>123386889872.30339</v>
          </cell>
          <cell r="Y228">
            <v>142092908186.30548</v>
          </cell>
          <cell r="Z228">
            <v>129685871065.23766</v>
          </cell>
          <cell r="AA228">
            <v>114380406033.22359</v>
          </cell>
          <cell r="AB228">
            <v>105014242541.02943</v>
          </cell>
          <cell r="AC228">
            <v>109201362589.00124</v>
          </cell>
          <cell r="AD228">
            <v>114123205983.08803</v>
          </cell>
          <cell r="AE228">
            <v>150498409835.87387</v>
          </cell>
          <cell r="AF228">
            <v>183008435689.94266</v>
          </cell>
          <cell r="AG228">
            <v>206988363594.81976</v>
          </cell>
          <cell r="AH228">
            <v>217949132622.50681</v>
          </cell>
          <cell r="AI228">
            <v>261846636897.06848</v>
          </cell>
          <cell r="AJ228">
            <v>274230545848.39917</v>
          </cell>
          <cell r="AK228">
            <v>284319488252.29675</v>
          </cell>
          <cell r="AL228">
            <v>212952606992.29294</v>
          </cell>
          <cell r="AM228">
            <v>229034457106.49469</v>
          </cell>
          <cell r="AN228">
            <v>267307061910.14371</v>
          </cell>
          <cell r="AO228">
            <v>291745732990.83527</v>
          </cell>
          <cell r="AP228">
            <v>268146349551.01419</v>
          </cell>
          <cell r="AQ228">
            <v>270810151170.43124</v>
          </cell>
          <cell r="AR228">
            <v>274071242574.57007</v>
          </cell>
          <cell r="AS228">
            <v>262834187366.57761</v>
          </cell>
          <cell r="AT228">
            <v>242395011586.56219</v>
          </cell>
          <cell r="AU228">
            <v>266848422377.99881</v>
          </cell>
          <cell r="AV228">
            <v>334337040046.62189</v>
          </cell>
          <cell r="AW228">
            <v>385118743610.14307</v>
          </cell>
          <cell r="AX228">
            <v>392218701192.92511</v>
          </cell>
          <cell r="AY228">
            <v>423090618042.96594</v>
          </cell>
          <cell r="AZ228">
            <v>491254769728.81158</v>
          </cell>
          <cell r="BA228">
            <v>517706214656.40698</v>
          </cell>
          <cell r="BB228">
            <v>436535921119.11865</v>
          </cell>
          <cell r="BC228">
            <v>495812558843.31036</v>
          </cell>
          <cell r="BD228">
            <v>574094112972.73267</v>
          </cell>
          <cell r="BE228">
            <v>552483727282.80249</v>
          </cell>
          <cell r="BF228">
            <v>586841821796.89111</v>
          </cell>
          <cell r="BG228">
            <v>581964017237.0946</v>
          </cell>
          <cell r="BH228">
            <v>505103781349.7569</v>
          </cell>
          <cell r="BI228">
            <v>515654671469.54694</v>
          </cell>
          <cell r="BJ228">
            <v>541018749769.09711</v>
          </cell>
          <cell r="BK228">
            <v>555455371487.08936</v>
          </cell>
          <cell r="BL228">
            <v>533879529188.45374</v>
          </cell>
          <cell r="BM228">
            <v>547054174235.87585</v>
          </cell>
        </row>
        <row r="229">
          <cell r="B229" t="str">
            <v>SWZ</v>
          </cell>
          <cell r="C229" t="str">
            <v>GDP (current US$)</v>
          </cell>
          <cell r="D229" t="str">
            <v>NY.GDP.MKTP.CD</v>
          </cell>
          <cell r="E229">
            <v>35076845.983292334</v>
          </cell>
          <cell r="F229">
            <v>43026042.80679328</v>
          </cell>
          <cell r="G229">
            <v>45927961.64718651</v>
          </cell>
          <cell r="H229">
            <v>54129438.369876407</v>
          </cell>
          <cell r="I229">
            <v>64980554.033770584</v>
          </cell>
          <cell r="J229">
            <v>70279971.916123196</v>
          </cell>
          <cell r="K229">
            <v>76859969.286756247</v>
          </cell>
          <cell r="L229">
            <v>74759970.125915915</v>
          </cell>
          <cell r="M229">
            <v>79799968.11193271</v>
          </cell>
          <cell r="N229">
            <v>105419957.8741848</v>
          </cell>
          <cell r="O229">
            <v>112139955.18887387</v>
          </cell>
          <cell r="P229">
            <v>136462096.70485076</v>
          </cell>
          <cell r="Q229">
            <v>146736433.95843878</v>
          </cell>
          <cell r="R229">
            <v>221915096.20545298</v>
          </cell>
          <cell r="S229">
            <v>264320939.5701516</v>
          </cell>
          <cell r="T229">
            <v>288299883.90664864</v>
          </cell>
          <cell r="U229">
            <v>272549999.76300001</v>
          </cell>
          <cell r="V229">
            <v>304059999.73559994</v>
          </cell>
          <cell r="W229">
            <v>340629999.70380002</v>
          </cell>
          <cell r="X229">
            <v>412093133.76098835</v>
          </cell>
          <cell r="Y229">
            <v>541977035.40209138</v>
          </cell>
          <cell r="Z229">
            <v>570774862.06051743</v>
          </cell>
          <cell r="AA229">
            <v>537568142.05084848</v>
          </cell>
          <cell r="AB229">
            <v>555336145.8924998</v>
          </cell>
          <cell r="AC229">
            <v>494483241.3722983</v>
          </cell>
          <cell r="AD229">
            <v>360079419.48020464</v>
          </cell>
          <cell r="AE229">
            <v>449140383.95337349</v>
          </cell>
          <cell r="AF229">
            <v>584125996.62743008</v>
          </cell>
          <cell r="AG229">
            <v>692026606.93412149</v>
          </cell>
          <cell r="AH229">
            <v>696921409.51375079</v>
          </cell>
          <cell r="AI229">
            <v>1114694112.4747782</v>
          </cell>
          <cell r="AJ229">
            <v>1156135717.9459786</v>
          </cell>
          <cell r="AK229">
            <v>1284759852.4668372</v>
          </cell>
          <cell r="AL229">
            <v>1357189724.738282</v>
          </cell>
          <cell r="AM229">
            <v>1419294121.1812005</v>
          </cell>
          <cell r="AN229">
            <v>1698989463.9910562</v>
          </cell>
          <cell r="AO229">
            <v>1602741771.5743396</v>
          </cell>
          <cell r="AP229">
            <v>1716714194.309341</v>
          </cell>
          <cell r="AQ229">
            <v>1576908808.8061068</v>
          </cell>
          <cell r="AR229">
            <v>1547888453.7578928</v>
          </cell>
          <cell r="AS229">
            <v>1738093756.8820755</v>
          </cell>
          <cell r="AT229">
            <v>1542477308.8940773</v>
          </cell>
          <cell r="AU229">
            <v>1432221784.415015</v>
          </cell>
          <cell r="AV229">
            <v>2197598417.8369422</v>
          </cell>
          <cell r="AW229">
            <v>2770082791.504118</v>
          </cell>
          <cell r="AX229">
            <v>3178112332.0937734</v>
          </cell>
          <cell r="AY229">
            <v>3291329938.1640744</v>
          </cell>
          <cell r="AZ229">
            <v>3469381231.4904904</v>
          </cell>
          <cell r="BA229">
            <v>3294084181.237082</v>
          </cell>
          <cell r="BB229">
            <v>3580427985.9481592</v>
          </cell>
          <cell r="BC229">
            <v>4438765109.4903612</v>
          </cell>
          <cell r="BD229">
            <v>4820478592.3350306</v>
          </cell>
          <cell r="BE229">
            <v>4886551706.1844082</v>
          </cell>
          <cell r="BF229">
            <v>4597552948.6464901</v>
          </cell>
          <cell r="BG229">
            <v>4422986447.489583</v>
          </cell>
          <cell r="BH229">
            <v>4063245671.2928457</v>
          </cell>
          <cell r="BI229">
            <v>3816019222.862679</v>
          </cell>
          <cell r="BJ229">
            <v>4402969225.9216471</v>
          </cell>
          <cell r="BK229">
            <v>4666598023.9185581</v>
          </cell>
          <cell r="BL229">
            <v>4466214522.1953907</v>
          </cell>
          <cell r="BM229">
            <v>3982236726.3678017</v>
          </cell>
        </row>
        <row r="230">
          <cell r="B230" t="str">
            <v>SXM</v>
          </cell>
          <cell r="C230" t="str">
            <v>GDP (current US$)</v>
          </cell>
          <cell r="D230" t="str">
            <v>NY.GDP.MKTP.CD</v>
          </cell>
          <cell r="BD230">
            <v>936089385.47486031</v>
          </cell>
          <cell r="BE230">
            <v>985865921.78770947</v>
          </cell>
          <cell r="BF230">
            <v>1022905027.9329609</v>
          </cell>
          <cell r="BG230">
            <v>1245251396.6480446</v>
          </cell>
          <cell r="BH230">
            <v>1253072625.698324</v>
          </cell>
          <cell r="BI230">
            <v>1263687150.8379889</v>
          </cell>
          <cell r="BJ230">
            <v>1191620111.7318435</v>
          </cell>
          <cell r="BK230">
            <v>1185474860.3351955</v>
          </cell>
          <cell r="BL230">
            <v>1459776536.312849</v>
          </cell>
          <cell r="BM230">
            <v>1240279329.6089385</v>
          </cell>
        </row>
        <row r="231">
          <cell r="B231" t="str">
            <v>SYC</v>
          </cell>
          <cell r="C231" t="str">
            <v>GDP (current US$)</v>
          </cell>
          <cell r="D231" t="str">
            <v>NY.GDP.MKTP.CD</v>
          </cell>
          <cell r="E231">
            <v>12012025.247787524</v>
          </cell>
          <cell r="F231">
            <v>11592024.364997752</v>
          </cell>
          <cell r="G231">
            <v>12642026.571972186</v>
          </cell>
          <cell r="H231">
            <v>13923029.264480995</v>
          </cell>
          <cell r="I231">
            <v>15393032.354245203</v>
          </cell>
          <cell r="J231">
            <v>15603032.795640089</v>
          </cell>
          <cell r="K231">
            <v>16443034.561219636</v>
          </cell>
          <cell r="L231">
            <v>16632032.813897707</v>
          </cell>
          <cell r="M231">
            <v>16074027.349587763</v>
          </cell>
          <cell r="N231">
            <v>16452027.992747162</v>
          </cell>
          <cell r="O231">
            <v>18432031.361677345</v>
          </cell>
          <cell r="P231">
            <v>21965951.753363572</v>
          </cell>
          <cell r="Q231">
            <v>30645121.012758542</v>
          </cell>
          <cell r="R231">
            <v>36896278.223336965</v>
          </cell>
          <cell r="S231">
            <v>43134498.693217747</v>
          </cell>
          <cell r="T231">
            <v>47803145.956030257</v>
          </cell>
          <cell r="U231">
            <v>49278979.547035009</v>
          </cell>
          <cell r="V231">
            <v>64526398.658254735</v>
          </cell>
          <cell r="W231">
            <v>85552369.914594159</v>
          </cell>
          <cell r="X231">
            <v>127261099.24395965</v>
          </cell>
          <cell r="Y231">
            <v>156783829.56480944</v>
          </cell>
          <cell r="Z231">
            <v>163750728.23727137</v>
          </cell>
          <cell r="AA231">
            <v>157211797.72691938</v>
          </cell>
          <cell r="AB231">
            <v>156098244.66909537</v>
          </cell>
          <cell r="AC231">
            <v>160992928.61324486</v>
          </cell>
          <cell r="AD231">
            <v>179691474.28538063</v>
          </cell>
          <cell r="AE231">
            <v>221147073.28265065</v>
          </cell>
          <cell r="AF231">
            <v>265212941.11645684</v>
          </cell>
          <cell r="AG231">
            <v>301985636.80954981</v>
          </cell>
          <cell r="AH231">
            <v>324333385.60560644</v>
          </cell>
          <cell r="AI231">
            <v>392163560.8799116</v>
          </cell>
          <cell r="AJ231">
            <v>398307144.7590031</v>
          </cell>
          <cell r="AK231">
            <v>461409398.85589331</v>
          </cell>
          <cell r="AL231">
            <v>504230588.11420077</v>
          </cell>
          <cell r="AM231">
            <v>517570058.15103447</v>
          </cell>
          <cell r="AN231">
            <v>540733047.73304772</v>
          </cell>
          <cell r="AO231">
            <v>535250347.08947867</v>
          </cell>
          <cell r="AP231">
            <v>598967022.07205009</v>
          </cell>
          <cell r="AQ231">
            <v>647287375.7625283</v>
          </cell>
          <cell r="AR231">
            <v>662838614.88067377</v>
          </cell>
          <cell r="AS231">
            <v>654212432.43716216</v>
          </cell>
          <cell r="AT231">
            <v>662064193.59657383</v>
          </cell>
          <cell r="AU231">
            <v>742134792.36744344</v>
          </cell>
          <cell r="AV231">
            <v>750847276.4417063</v>
          </cell>
          <cell r="AW231">
            <v>893012218.18181813</v>
          </cell>
          <cell r="AX231">
            <v>977899381.81818187</v>
          </cell>
          <cell r="AY231">
            <v>1081441348.6260548</v>
          </cell>
          <cell r="AZ231">
            <v>1077308888.1631658</v>
          </cell>
          <cell r="BA231">
            <v>979597364.93330038</v>
          </cell>
          <cell r="BB231">
            <v>851064318.79214072</v>
          </cell>
          <cell r="BC231">
            <v>981918002.86976767</v>
          </cell>
          <cell r="BD231">
            <v>1059249939.5933286</v>
          </cell>
          <cell r="BE231">
            <v>1089880668.3777366</v>
          </cell>
          <cell r="BF231">
            <v>1324915221.7211044</v>
          </cell>
          <cell r="BG231">
            <v>1387576413.8583915</v>
          </cell>
          <cell r="BH231">
            <v>1391427967.3349521</v>
          </cell>
          <cell r="BI231">
            <v>1458954109.8195915</v>
          </cell>
          <cell r="BJ231">
            <v>1529773286.4964569</v>
          </cell>
          <cell r="BK231">
            <v>1587813245.2822464</v>
          </cell>
          <cell r="BL231">
            <v>1645090567.0461226</v>
          </cell>
          <cell r="BM231">
            <v>1183515397.6489053</v>
          </cell>
        </row>
        <row r="232">
          <cell r="B232" t="str">
            <v>SYR</v>
          </cell>
          <cell r="C232" t="str">
            <v>GDP (current US$)</v>
          </cell>
          <cell r="D232" t="str">
            <v>NY.GDP.MKTP.CD</v>
          </cell>
          <cell r="E232">
            <v>857704413.64740348</v>
          </cell>
          <cell r="F232">
            <v>945244972.331074</v>
          </cell>
          <cell r="G232">
            <v>1110565881.0597739</v>
          </cell>
          <cell r="H232">
            <v>1200447408.6912165</v>
          </cell>
          <cell r="I232">
            <v>1339494267.3663597</v>
          </cell>
          <cell r="J232">
            <v>1329842434.9031</v>
          </cell>
          <cell r="K232">
            <v>1321204502.963666</v>
          </cell>
          <cell r="L232">
            <v>1443717801.4250569</v>
          </cell>
          <cell r="M232">
            <v>1562303429.7283516</v>
          </cell>
          <cell r="N232">
            <v>1796596911.4650776</v>
          </cell>
          <cell r="O232">
            <v>1780104712.5078807</v>
          </cell>
          <cell r="P232">
            <v>2097643979.6067131</v>
          </cell>
          <cell r="Q232">
            <v>2415706806.9151063</v>
          </cell>
          <cell r="R232">
            <v>2579219250.6375465</v>
          </cell>
          <cell r="S232">
            <v>4244670165.2179008</v>
          </cell>
          <cell r="T232">
            <v>5566756758.2612858</v>
          </cell>
          <cell r="U232">
            <v>6417632810.1101255</v>
          </cell>
          <cell r="V232">
            <v>6882292995.3840237</v>
          </cell>
          <cell r="W232">
            <v>8251974524.3954067</v>
          </cell>
          <cell r="X232">
            <v>9929681531.192276</v>
          </cell>
          <cell r="Y232">
            <v>13062420385.49361</v>
          </cell>
          <cell r="Z232">
            <v>16758471341.849291</v>
          </cell>
          <cell r="AA232">
            <v>17525605100.006523</v>
          </cell>
          <cell r="AB232">
            <v>18672866246.795635</v>
          </cell>
          <cell r="AC232">
            <v>19195414014.7766</v>
          </cell>
          <cell r="AD232">
            <v>21203821656.050957</v>
          </cell>
          <cell r="AE232">
            <v>25460636942.675159</v>
          </cell>
          <cell r="AF232">
            <v>32538089171.974525</v>
          </cell>
          <cell r="AG232">
            <v>16574342984.4098</v>
          </cell>
          <cell r="AH232">
            <v>18609532293.986637</v>
          </cell>
          <cell r="AI232">
            <v>23904498886.414253</v>
          </cell>
          <cell r="AJ232">
            <v>27756258351.893097</v>
          </cell>
          <cell r="AK232">
            <v>33107349665.924278</v>
          </cell>
          <cell r="AL232">
            <v>36860133630.289536</v>
          </cell>
          <cell r="AM232">
            <v>45086948775.055679</v>
          </cell>
          <cell r="AN232">
            <v>50866369710.467705</v>
          </cell>
          <cell r="AO232">
            <v>61546280623.608017</v>
          </cell>
          <cell r="AP232">
            <v>66420400890.868599</v>
          </cell>
          <cell r="AQ232">
            <v>70418173719.376389</v>
          </cell>
          <cell r="AR232">
            <v>72970334075.723831</v>
          </cell>
          <cell r="AS232">
            <v>80590022271.71492</v>
          </cell>
          <cell r="AT232">
            <v>86771314031.180405</v>
          </cell>
          <cell r="AU232">
            <v>90558485523.3853</v>
          </cell>
          <cell r="AV232">
            <v>95693808463.251678</v>
          </cell>
          <cell r="AW232">
            <v>112863340757.23831</v>
          </cell>
          <cell r="AX232">
            <v>134203830734.9666</v>
          </cell>
          <cell r="AY232">
            <v>153799910913.14032</v>
          </cell>
          <cell r="AZ232">
            <v>180030111358.57462</v>
          </cell>
          <cell r="BA232">
            <v>218089977728.2851</v>
          </cell>
          <cell r="BB232">
            <v>224561692650.33408</v>
          </cell>
          <cell r="BC232">
            <v>252518218262.80624</v>
          </cell>
          <cell r="BD232">
            <v>67539427670.995773</v>
          </cell>
          <cell r="BE232">
            <v>43190317724.708771</v>
          </cell>
          <cell r="BF232">
            <v>21361254647.99036</v>
          </cell>
          <cell r="BG232">
            <v>21502061462.212151</v>
          </cell>
          <cell r="BH232">
            <v>16468399180.382212</v>
          </cell>
          <cell r="BI232">
            <v>12598742886.936825</v>
          </cell>
          <cell r="BJ232">
            <v>16369724433.275146</v>
          </cell>
          <cell r="BK232">
            <v>21496337967.867672</v>
          </cell>
          <cell r="BL232">
            <v>22600896352.126598</v>
          </cell>
          <cell r="BM232">
            <v>11159274040.270842</v>
          </cell>
        </row>
        <row r="233">
          <cell r="B233" t="str">
            <v>TCA</v>
          </cell>
          <cell r="C233" t="str">
            <v>GDP (current US$)</v>
          </cell>
          <cell r="D233" t="str">
            <v>NY.GDP.MKTP.CD</v>
          </cell>
          <cell r="AT233">
            <v>358744800</v>
          </cell>
          <cell r="AU233">
            <v>366707900</v>
          </cell>
          <cell r="AV233">
            <v>409753600</v>
          </cell>
          <cell r="AW233">
            <v>485598800</v>
          </cell>
          <cell r="AX233">
            <v>578645800</v>
          </cell>
          <cell r="AY233">
            <v>721891500</v>
          </cell>
          <cell r="AZ233">
            <v>773489700</v>
          </cell>
          <cell r="BA233">
            <v>862683600</v>
          </cell>
          <cell r="BB233">
            <v>703175800</v>
          </cell>
          <cell r="BC233">
            <v>686787800</v>
          </cell>
          <cell r="BD233">
            <v>728789600</v>
          </cell>
          <cell r="BE233">
            <v>727161000</v>
          </cell>
          <cell r="BF233">
            <v>754238000</v>
          </cell>
          <cell r="BG233">
            <v>841070000</v>
          </cell>
          <cell r="BH233">
            <v>942070000</v>
          </cell>
          <cell r="BI233">
            <v>1032452000</v>
          </cell>
          <cell r="BJ233">
            <v>1022365000</v>
          </cell>
          <cell r="BK233">
            <v>1113178000</v>
          </cell>
          <cell r="BL233">
            <v>1197415000</v>
          </cell>
          <cell r="BM233">
            <v>924583000</v>
          </cell>
        </row>
        <row r="234">
          <cell r="B234" t="str">
            <v>TCD</v>
          </cell>
          <cell r="C234" t="str">
            <v>GDP (current US$)</v>
          </cell>
          <cell r="D234" t="str">
            <v>NY.GDP.MKTP.CD</v>
          </cell>
          <cell r="E234">
            <v>313582727.63810849</v>
          </cell>
          <cell r="F234">
            <v>333975336.6265958</v>
          </cell>
          <cell r="G234">
            <v>357635713.87685776</v>
          </cell>
          <cell r="H234">
            <v>371767002.65603614</v>
          </cell>
          <cell r="I234">
            <v>392247517.60194892</v>
          </cell>
          <cell r="J234">
            <v>416926302.96349508</v>
          </cell>
          <cell r="K234">
            <v>432794922.45975757</v>
          </cell>
          <cell r="L234">
            <v>449826322.99510705</v>
          </cell>
          <cell r="M234">
            <v>453980096.65440989</v>
          </cell>
          <cell r="N234">
            <v>471635620.924366</v>
          </cell>
          <cell r="O234">
            <v>469266736.60510057</v>
          </cell>
          <cell r="P234">
            <v>501866730.72250277</v>
          </cell>
          <cell r="Q234">
            <v>585427545.72359848</v>
          </cell>
          <cell r="R234">
            <v>647199482.82798243</v>
          </cell>
          <cell r="S234">
            <v>652532796.06664038</v>
          </cell>
          <cell r="T234">
            <v>864602103.30307376</v>
          </cell>
          <cell r="U234">
            <v>866044961.04835379</v>
          </cell>
          <cell r="V234">
            <v>935360466.35148823</v>
          </cell>
          <cell r="W234">
            <v>1113920122.6123292</v>
          </cell>
          <cell r="X234">
            <v>1004316495.1117549</v>
          </cell>
          <cell r="Y234">
            <v>1033002401.8254334</v>
          </cell>
          <cell r="Z234">
            <v>876937559.72495079</v>
          </cell>
          <cell r="AA234">
            <v>834369860.42731726</v>
          </cell>
          <cell r="AB234">
            <v>832415805.95626545</v>
          </cell>
          <cell r="AC234">
            <v>919103735.32290411</v>
          </cell>
          <cell r="AD234">
            <v>1033069709.9950572</v>
          </cell>
          <cell r="AE234">
            <v>1067828247.2357877</v>
          </cell>
          <cell r="AF234">
            <v>1163426850.6502371</v>
          </cell>
          <cell r="AG234">
            <v>1482597298.8872888</v>
          </cell>
          <cell r="AH234">
            <v>1433686309.83641</v>
          </cell>
          <cell r="AI234">
            <v>1738605558.0543621</v>
          </cell>
          <cell r="AJ234">
            <v>1877137983.0292327</v>
          </cell>
          <cell r="AK234">
            <v>1881847671.4712155</v>
          </cell>
          <cell r="AL234">
            <v>1463251161.3349447</v>
          </cell>
          <cell r="AM234">
            <v>1179837963.9537878</v>
          </cell>
          <cell r="AN234">
            <v>1445919894.8624909</v>
          </cell>
          <cell r="AO234">
            <v>1607345354.9267132</v>
          </cell>
          <cell r="AP234">
            <v>1544689575.9918559</v>
          </cell>
          <cell r="AQ234">
            <v>1744794532.4936378</v>
          </cell>
          <cell r="AR234">
            <v>1534673583.2487004</v>
          </cell>
          <cell r="AS234">
            <v>1388506771.5262322</v>
          </cell>
          <cell r="AT234">
            <v>1710843376.3933096</v>
          </cell>
          <cell r="AU234">
            <v>1997005710.2655532</v>
          </cell>
          <cell r="AV234">
            <v>2742815070.7586651</v>
          </cell>
          <cell r="AW234">
            <v>4422855658.3804321</v>
          </cell>
          <cell r="AX234">
            <v>6649307528.062376</v>
          </cell>
          <cell r="AY234">
            <v>7428701455.4056492</v>
          </cell>
          <cell r="AZ234">
            <v>8650137734.7163715</v>
          </cell>
          <cell r="BA234">
            <v>10393833755.279123</v>
          </cell>
          <cell r="BB234">
            <v>9290728312.2438297</v>
          </cell>
          <cell r="BC234">
            <v>10668103549.312336</v>
          </cell>
          <cell r="BD234">
            <v>12172308858.299326</v>
          </cell>
          <cell r="BE234">
            <v>12367362746.130699</v>
          </cell>
          <cell r="BF234">
            <v>12953534870.304037</v>
          </cell>
          <cell r="BG234">
            <v>13940767222.105333</v>
          </cell>
          <cell r="BH234">
            <v>10950392257.27639</v>
          </cell>
          <cell r="BI234">
            <v>10097778097.096865</v>
          </cell>
          <cell r="BJ234">
            <v>10000394388.115839</v>
          </cell>
          <cell r="BK234">
            <v>11239167890.281643</v>
          </cell>
          <cell r="BL234">
            <v>11314951088.245092</v>
          </cell>
          <cell r="BM234">
            <v>10715396051.438772</v>
          </cell>
        </row>
        <row r="235">
          <cell r="B235" t="str">
            <v>TEA</v>
          </cell>
          <cell r="C235" t="str">
            <v>GDP (current US$)</v>
          </cell>
          <cell r="D235" t="str">
            <v>NY.GDP.MKTP.CD</v>
          </cell>
          <cell r="E235">
            <v>81224776384.707413</v>
          </cell>
          <cell r="F235">
            <v>71506835328.254501</v>
          </cell>
          <cell r="G235">
            <v>65298419617.701347</v>
          </cell>
          <cell r="H235">
            <v>70737487657.739426</v>
          </cell>
          <cell r="I235">
            <v>81639971519.202316</v>
          </cell>
          <cell r="J235">
            <v>95037675059.471817</v>
          </cell>
          <cell r="K235">
            <v>103921128849.55096</v>
          </cell>
          <cell r="L235">
            <v>100855079888.29974</v>
          </cell>
          <cell r="M235">
            <v>102125373416.71286</v>
          </cell>
          <cell r="N235">
            <v>114623412917.81863</v>
          </cell>
          <cell r="O235">
            <v>127295734440.72781</v>
          </cell>
          <cell r="P235">
            <v>136858919192.23219</v>
          </cell>
          <cell r="Q235">
            <v>155214569008.12637</v>
          </cell>
          <cell r="R235">
            <v>195289915128.06735</v>
          </cell>
          <cell r="S235">
            <v>220929823664.41092</v>
          </cell>
          <cell r="T235">
            <v>248290348400.14291</v>
          </cell>
          <cell r="U235">
            <v>252311828473.48221</v>
          </cell>
          <cell r="V235">
            <v>291212135813.59082</v>
          </cell>
          <cell r="W235">
            <v>282398728342.15863</v>
          </cell>
          <cell r="X235">
            <v>327142679832.48523</v>
          </cell>
          <cell r="Y235">
            <v>377561719824.85889</v>
          </cell>
          <cell r="Z235">
            <v>403046355974.10583</v>
          </cell>
          <cell r="AA235">
            <v>423156559869.69202</v>
          </cell>
          <cell r="AB235">
            <v>443283114260.85858</v>
          </cell>
          <cell r="AC235">
            <v>480300216521.68646</v>
          </cell>
          <cell r="AD235">
            <v>525667890496.15955</v>
          </cell>
          <cell r="AE235">
            <v>524370868953.53796</v>
          </cell>
          <cell r="AF235">
            <v>518290373654.71564</v>
          </cell>
          <cell r="AG235">
            <v>574764937806.37292</v>
          </cell>
          <cell r="AH235">
            <v>621596110509.65796</v>
          </cell>
          <cell r="AI235">
            <v>666366770410.33594</v>
          </cell>
          <cell r="AJ235">
            <v>722756599317.84509</v>
          </cell>
          <cell r="AK235">
            <v>810051537303.65833</v>
          </cell>
          <cell r="AL235">
            <v>889186161626.55017</v>
          </cell>
          <cell r="AM235">
            <v>1069986366066.8385</v>
          </cell>
          <cell r="AN235">
            <v>1320085097807.8323</v>
          </cell>
          <cell r="AO235">
            <v>1516195666676.533</v>
          </cell>
          <cell r="AP235">
            <v>1569690177940.6042</v>
          </cell>
          <cell r="AQ235">
            <v>1429654561465.3657</v>
          </cell>
          <cell r="AR235">
            <v>1573343371558.063</v>
          </cell>
          <cell r="AS235">
            <v>1732058262387.603</v>
          </cell>
          <cell r="AT235">
            <v>1844710221138.6108</v>
          </cell>
          <cell r="AU235">
            <v>2041300111259.7476</v>
          </cell>
          <cell r="AV235">
            <v>2308408754163.3408</v>
          </cell>
          <cell r="AW235">
            <v>2678572954339.4722</v>
          </cell>
          <cell r="AX235">
            <v>3102603620227.8511</v>
          </cell>
          <cell r="AY235">
            <v>3735650251543.7163</v>
          </cell>
          <cell r="AZ235">
            <v>4721464960584.3271</v>
          </cell>
          <cell r="BA235">
            <v>5970961310988.0342</v>
          </cell>
          <cell r="BB235">
            <v>6475879226565.0732</v>
          </cell>
          <cell r="BC235">
            <v>7879104830183.9443</v>
          </cell>
          <cell r="BD235">
            <v>9632969004624.752</v>
          </cell>
          <cell r="BE235">
            <v>10745080937107.859</v>
          </cell>
          <cell r="BF235">
            <v>11855762712168.93</v>
          </cell>
          <cell r="BG235">
            <v>12782174580093.705</v>
          </cell>
          <cell r="BH235">
            <v>13310296419270.848</v>
          </cell>
          <cell r="BI235">
            <v>13594851920373.377</v>
          </cell>
          <cell r="BJ235">
            <v>14858183903103.918</v>
          </cell>
          <cell r="BK235">
            <v>16619140999210.246</v>
          </cell>
          <cell r="BL235">
            <v>17185664986074.439</v>
          </cell>
          <cell r="BM235">
            <v>17465598594220.658</v>
          </cell>
        </row>
        <row r="236">
          <cell r="B236" t="str">
            <v>TEC</v>
          </cell>
          <cell r="C236" t="str">
            <v>GDP (current US$)</v>
          </cell>
          <cell r="D236" t="str">
            <v>NY.GDP.MKTP.CD</v>
          </cell>
          <cell r="AG236">
            <v>988478286834.95593</v>
          </cell>
          <cell r="AH236">
            <v>959311297803.81458</v>
          </cell>
          <cell r="AI236">
            <v>1019407140680.2428</v>
          </cell>
          <cell r="AJ236">
            <v>1005323422102.0085</v>
          </cell>
          <cell r="AK236">
            <v>939714425054.60437</v>
          </cell>
          <cell r="AL236">
            <v>928587913954.41895</v>
          </cell>
          <cell r="AM236">
            <v>834808706479.04419</v>
          </cell>
          <cell r="AN236">
            <v>924003946473.74988</v>
          </cell>
          <cell r="AO236">
            <v>950622147030.59253</v>
          </cell>
          <cell r="AP236">
            <v>980494801830.29431</v>
          </cell>
          <cell r="AQ236">
            <v>947828497154.12524</v>
          </cell>
          <cell r="AR236">
            <v>821675687106.13721</v>
          </cell>
          <cell r="AS236">
            <v>894544912879.61035</v>
          </cell>
          <cell r="AT236">
            <v>909540989189.30811</v>
          </cell>
          <cell r="AU236">
            <v>1022699841892.1849</v>
          </cell>
          <cell r="AV236">
            <v>1258196381063.0227</v>
          </cell>
          <cell r="AW236">
            <v>1628013726359.2439</v>
          </cell>
          <cell r="AX236">
            <v>2039291725254.9465</v>
          </cell>
          <cell r="AY236">
            <v>2466294505435.1367</v>
          </cell>
          <cell r="AZ236">
            <v>3172257385086.2158</v>
          </cell>
          <cell r="BA236">
            <v>3926652288409.1685</v>
          </cell>
          <cell r="BB236">
            <v>3113586357347.7173</v>
          </cell>
          <cell r="BC236">
            <v>3657536381245.6191</v>
          </cell>
          <cell r="BD236">
            <v>4449677432130.8438</v>
          </cell>
          <cell r="BE236">
            <v>4646279764256.9717</v>
          </cell>
          <cell r="BF236">
            <v>4915186910591.0205</v>
          </cell>
          <cell r="BG236">
            <v>4643782927094.0645</v>
          </cell>
          <cell r="BH236">
            <v>3627425557555.8276</v>
          </cell>
          <cell r="BI236">
            <v>3485571017748.0449</v>
          </cell>
          <cell r="BJ236">
            <v>3909150827560.0303</v>
          </cell>
          <cell r="BK236">
            <v>4076336318031.9717</v>
          </cell>
          <cell r="BL236">
            <v>4156449775997.6011</v>
          </cell>
          <cell r="BM236">
            <v>3899326823730.1699</v>
          </cell>
        </row>
        <row r="237">
          <cell r="B237" t="str">
            <v>TGO</v>
          </cell>
          <cell r="C237" t="str">
            <v>GDP (current US$)</v>
          </cell>
          <cell r="D237" t="str">
            <v>NY.GDP.MKTP.CD</v>
          </cell>
          <cell r="E237">
            <v>164603553.98228079</v>
          </cell>
          <cell r="F237">
            <v>171762891.7133185</v>
          </cell>
          <cell r="G237">
            <v>179700351.92884567</v>
          </cell>
          <cell r="H237">
            <v>194673419.07015923</v>
          </cell>
          <cell r="I237">
            <v>225722420.01692861</v>
          </cell>
          <cell r="J237">
            <v>254526437.24517319</v>
          </cell>
          <cell r="K237">
            <v>293712193.86878037</v>
          </cell>
          <cell r="L237">
            <v>314870885.99678886</v>
          </cell>
          <cell r="M237">
            <v>328800480.45420295</v>
          </cell>
          <cell r="N237">
            <v>363827440.30114925</v>
          </cell>
          <cell r="O237">
            <v>345134276.95892173</v>
          </cell>
          <cell r="P237">
            <v>389382093.171242</v>
          </cell>
          <cell r="Q237">
            <v>456159541.70559341</v>
          </cell>
          <cell r="R237">
            <v>552374366.44459665</v>
          </cell>
          <cell r="S237">
            <v>761591056.26165402</v>
          </cell>
          <cell r="T237">
            <v>838891749.34766948</v>
          </cell>
          <cell r="U237">
            <v>841682268.53456998</v>
          </cell>
          <cell r="V237">
            <v>1056473299.6875474</v>
          </cell>
          <cell r="W237">
            <v>1120110135.7572474</v>
          </cell>
          <cell r="X237">
            <v>1211853289.7222042</v>
          </cell>
          <cell r="Y237">
            <v>1544290809.9266629</v>
          </cell>
          <cell r="Z237">
            <v>1307754354.7026255</v>
          </cell>
          <cell r="AA237">
            <v>1116560700.7588985</v>
          </cell>
          <cell r="AB237">
            <v>1040589483.7419527</v>
          </cell>
          <cell r="AC237">
            <v>975908209.64252031</v>
          </cell>
          <cell r="AD237">
            <v>1035987180.1348811</v>
          </cell>
          <cell r="AE237">
            <v>1441695857.9415834</v>
          </cell>
          <cell r="AF237">
            <v>1697428000.6852541</v>
          </cell>
          <cell r="AG237">
            <v>1873745515.3574367</v>
          </cell>
          <cell r="AH237">
            <v>1838552523.377408</v>
          </cell>
          <cell r="AI237">
            <v>2212905422.6408596</v>
          </cell>
          <cell r="AJ237">
            <v>2177399825.4550915</v>
          </cell>
          <cell r="AK237">
            <v>2300598696.1939092</v>
          </cell>
          <cell r="AL237">
            <v>1676225629.2412741</v>
          </cell>
          <cell r="AM237">
            <v>1335309429.6589866</v>
          </cell>
          <cell r="AN237">
            <v>1779348593.1489322</v>
          </cell>
          <cell r="AO237">
            <v>1991429217.6411002</v>
          </cell>
          <cell r="AP237">
            <v>2036956850.5988824</v>
          </cell>
          <cell r="AQ237">
            <v>2157078792.4712982</v>
          </cell>
          <cell r="AR237">
            <v>2142574540.9752378</v>
          </cell>
          <cell r="AS237">
            <v>2027363116.9541309</v>
          </cell>
          <cell r="AT237">
            <v>2014516700.5267537</v>
          </cell>
          <cell r="AU237">
            <v>2319268823.4097114</v>
          </cell>
          <cell r="AV237">
            <v>2875255592.536664</v>
          </cell>
          <cell r="AW237">
            <v>3071152629.2958999</v>
          </cell>
          <cell r="AX237">
            <v>3100356551.9287639</v>
          </cell>
          <cell r="AY237">
            <v>3195618966.3073616</v>
          </cell>
          <cell r="AZ237">
            <v>3618281293.0792823</v>
          </cell>
          <cell r="BA237">
            <v>4516616223.9103079</v>
          </cell>
          <cell r="BB237">
            <v>4592147227.9068003</v>
          </cell>
          <cell r="BC237">
            <v>4660369658.3712292</v>
          </cell>
          <cell r="BD237">
            <v>5262368232.3034658</v>
          </cell>
          <cell r="BE237">
            <v>5263522037.2272415</v>
          </cell>
          <cell r="BF237">
            <v>5872790935.4872904</v>
          </cell>
          <cell r="BG237">
            <v>6217047648.6398516</v>
          </cell>
          <cell r="BH237">
            <v>5681469374.1036243</v>
          </cell>
          <cell r="BI237">
            <v>6031632014.8601265</v>
          </cell>
          <cell r="BJ237">
            <v>6395472028.2436094</v>
          </cell>
          <cell r="BK237">
            <v>7029217931.7502871</v>
          </cell>
          <cell r="BL237">
            <v>6992656428.9358082</v>
          </cell>
          <cell r="BM237">
            <v>7389329392.7703962</v>
          </cell>
        </row>
        <row r="238">
          <cell r="B238" t="str">
            <v>THA</v>
          </cell>
          <cell r="C238" t="str">
            <v>GDP (current US$)</v>
          </cell>
          <cell r="D238" t="str">
            <v>NY.GDP.MKTP.CD</v>
          </cell>
          <cell r="E238">
            <v>2760750921.4010119</v>
          </cell>
          <cell r="F238">
            <v>3034037871.7559619</v>
          </cell>
          <cell r="G238">
            <v>3308912796.934866</v>
          </cell>
          <cell r="H238">
            <v>3540403456.5530486</v>
          </cell>
          <cell r="I238">
            <v>3889129938.6055398</v>
          </cell>
          <cell r="J238">
            <v>4388937644.8605309</v>
          </cell>
          <cell r="K238">
            <v>5279230812.2822714</v>
          </cell>
          <cell r="L238">
            <v>5638461436.9403114</v>
          </cell>
          <cell r="M238">
            <v>6081009422.0959625</v>
          </cell>
          <cell r="N238">
            <v>6695336560.934247</v>
          </cell>
          <cell r="O238">
            <v>7086538430.7541609</v>
          </cell>
          <cell r="P238">
            <v>7375000017.6325998</v>
          </cell>
          <cell r="Q238">
            <v>8177872957.5896187</v>
          </cell>
          <cell r="R238">
            <v>10838587357.74659</v>
          </cell>
          <cell r="S238">
            <v>13702998648.216045</v>
          </cell>
          <cell r="T238">
            <v>14882770239.314917</v>
          </cell>
          <cell r="U238">
            <v>16985208712.105438</v>
          </cell>
          <cell r="V238">
            <v>19779312335.720478</v>
          </cell>
          <cell r="W238">
            <v>24006567108.45631</v>
          </cell>
          <cell r="X238">
            <v>27371650353.058865</v>
          </cell>
          <cell r="Y238">
            <v>32353514501.999992</v>
          </cell>
          <cell r="Z238">
            <v>34846038517.928726</v>
          </cell>
          <cell r="AA238">
            <v>36589772336.849007</v>
          </cell>
          <cell r="AB238">
            <v>40042798315.273361</v>
          </cell>
          <cell r="AC238">
            <v>41797647303.348335</v>
          </cell>
          <cell r="AD238">
            <v>38900711298.193413</v>
          </cell>
          <cell r="AE238">
            <v>43096774496.624962</v>
          </cell>
          <cell r="AF238">
            <v>50535445679.810646</v>
          </cell>
          <cell r="AG238">
            <v>61667254410.672997</v>
          </cell>
          <cell r="AH238">
            <v>72250747142.17337</v>
          </cell>
          <cell r="AI238">
            <v>85343189320.751877</v>
          </cell>
          <cell r="AJ238">
            <v>98234713407.73233</v>
          </cell>
          <cell r="AK238">
            <v>111452745855.98874</v>
          </cell>
          <cell r="AL238">
            <v>128889262554.62677</v>
          </cell>
          <cell r="AM238">
            <v>146683779608.91721</v>
          </cell>
          <cell r="AN238">
            <v>169278918603.43552</v>
          </cell>
          <cell r="AO238">
            <v>183035238433.43774</v>
          </cell>
          <cell r="AP238">
            <v>150180454390.44586</v>
          </cell>
          <cell r="AQ238">
            <v>113675595413.49591</v>
          </cell>
          <cell r="AR238">
            <v>126669212337.24503</v>
          </cell>
          <cell r="AS238">
            <v>126392223203.46117</v>
          </cell>
          <cell r="AT238">
            <v>120296476180.40192</v>
          </cell>
          <cell r="AU238">
            <v>134300903357.96223</v>
          </cell>
          <cell r="AV238">
            <v>152280616469.4783</v>
          </cell>
          <cell r="AW238">
            <v>172895685509.27463</v>
          </cell>
          <cell r="AX238">
            <v>189318407487.95868</v>
          </cell>
          <cell r="AY238">
            <v>221758294724.76367</v>
          </cell>
          <cell r="AZ238">
            <v>262942624565.27277</v>
          </cell>
          <cell r="BA238">
            <v>291382985568.98834</v>
          </cell>
          <cell r="BB238">
            <v>281710629173.19934</v>
          </cell>
          <cell r="BC238">
            <v>341104766329.16962</v>
          </cell>
          <cell r="BD238">
            <v>370818735569.85974</v>
          </cell>
          <cell r="BE238">
            <v>397558329541.97186</v>
          </cell>
          <cell r="BF238">
            <v>420333659152.573</v>
          </cell>
          <cell r="BG238">
            <v>407339036017.22131</v>
          </cell>
          <cell r="BH238">
            <v>401296242133.90344</v>
          </cell>
          <cell r="BI238">
            <v>413366345843.74353</v>
          </cell>
          <cell r="BJ238">
            <v>456356812774.56287</v>
          </cell>
          <cell r="BK238">
            <v>506754212432.99097</v>
          </cell>
          <cell r="BL238">
            <v>543976695638.81158</v>
          </cell>
          <cell r="BM238">
            <v>500457261548.07605</v>
          </cell>
        </row>
        <row r="239">
          <cell r="B239" t="str">
            <v>TJK</v>
          </cell>
          <cell r="C239" t="str">
            <v>GDP (current US$)</v>
          </cell>
          <cell r="D239" t="str">
            <v>NY.GDP.MKTP.CD</v>
          </cell>
          <cell r="AI239">
            <v>2629395066.2701721</v>
          </cell>
          <cell r="AJ239">
            <v>2534720480.324399</v>
          </cell>
          <cell r="AK239">
            <v>1909246640.8083768</v>
          </cell>
          <cell r="AL239">
            <v>1646693642.1108849</v>
          </cell>
          <cell r="AM239">
            <v>1522018435.6953597</v>
          </cell>
          <cell r="AN239">
            <v>1231567145.3550835</v>
          </cell>
          <cell r="AO239">
            <v>1043654822.3350254</v>
          </cell>
          <cell r="AP239">
            <v>921517486.66271555</v>
          </cell>
          <cell r="AQ239">
            <v>1320199581.5226138</v>
          </cell>
          <cell r="AR239">
            <v>1086612582.8929179</v>
          </cell>
          <cell r="AS239">
            <v>860541842.26369655</v>
          </cell>
          <cell r="AT239">
            <v>1080772703.1612804</v>
          </cell>
          <cell r="AU239">
            <v>1221106073.0307283</v>
          </cell>
          <cell r="AV239">
            <v>1555318430.7662139</v>
          </cell>
          <cell r="AW239">
            <v>2076176636.4342828</v>
          </cell>
          <cell r="AX239">
            <v>2312352267.9872055</v>
          </cell>
          <cell r="AY239">
            <v>2830213562.6021671</v>
          </cell>
          <cell r="AZ239">
            <v>3719524180.7028875</v>
          </cell>
          <cell r="BA239">
            <v>5161299725.2767277</v>
          </cell>
          <cell r="BB239">
            <v>4979471963.7918072</v>
          </cell>
          <cell r="BC239">
            <v>5642221528.6711435</v>
          </cell>
          <cell r="BD239">
            <v>6522755783.3925667</v>
          </cell>
          <cell r="BE239">
            <v>7633036366.0349197</v>
          </cell>
          <cell r="BF239">
            <v>8448410727.1544275</v>
          </cell>
          <cell r="BG239">
            <v>9112606074.5171318</v>
          </cell>
          <cell r="BH239">
            <v>8271431932.4367771</v>
          </cell>
          <cell r="BI239">
            <v>6992416096.8901844</v>
          </cell>
          <cell r="BJ239">
            <v>7536403146.6837664</v>
          </cell>
          <cell r="BK239">
            <v>7765000282.293973</v>
          </cell>
          <cell r="BL239">
            <v>8300813889.6369829</v>
          </cell>
          <cell r="BM239">
            <v>8133963813.3328981</v>
          </cell>
        </row>
        <row r="240">
          <cell r="B240" t="str">
            <v>TKM</v>
          </cell>
          <cell r="C240" t="str">
            <v>GDP (current US$)</v>
          </cell>
          <cell r="D240" t="str">
            <v>NY.GDP.MKTP.CD</v>
          </cell>
          <cell r="AF240">
            <v>2331358819.7595434</v>
          </cell>
          <cell r="AG240">
            <v>3010982414.2442522</v>
          </cell>
          <cell r="AH240">
            <v>3006988216.550447</v>
          </cell>
          <cell r="AI240">
            <v>3189539641.3171048</v>
          </cell>
          <cell r="AJ240">
            <v>3208098919.0145984</v>
          </cell>
          <cell r="AK240">
            <v>3200539816.0600963</v>
          </cell>
          <cell r="AL240">
            <v>3179225948.5811377</v>
          </cell>
          <cell r="AM240">
            <v>2561118608.3551626</v>
          </cell>
          <cell r="AN240">
            <v>2482228439.7140694</v>
          </cell>
          <cell r="AO240">
            <v>2378759975.4450583</v>
          </cell>
          <cell r="AP240">
            <v>2450349634.4743605</v>
          </cell>
          <cell r="AQ240">
            <v>2605688065.0833807</v>
          </cell>
          <cell r="AR240">
            <v>2450564467.5831518</v>
          </cell>
          <cell r="AS240">
            <v>2904662604.820529</v>
          </cell>
          <cell r="AT240">
            <v>3534771968.5118895</v>
          </cell>
          <cell r="AU240">
            <v>4462028988.7294865</v>
          </cell>
          <cell r="AV240">
            <v>5977440582.8017139</v>
          </cell>
          <cell r="AW240">
            <v>6838351088.4668837</v>
          </cell>
          <cell r="AX240">
            <v>8103901996.3702354</v>
          </cell>
          <cell r="AY240">
            <v>10276674364.896074</v>
          </cell>
          <cell r="AZ240">
            <v>12664165103.189493</v>
          </cell>
          <cell r="BA240">
            <v>19271523178.807945</v>
          </cell>
          <cell r="BB240">
            <v>20214385964.912281</v>
          </cell>
          <cell r="BC240">
            <v>22583157894.736843</v>
          </cell>
          <cell r="BD240">
            <v>29233333333.333332</v>
          </cell>
          <cell r="BE240">
            <v>35164210526.315788</v>
          </cell>
          <cell r="BF240">
            <v>39197543859.649124</v>
          </cell>
          <cell r="BG240">
            <v>43524210526.315788</v>
          </cell>
          <cell r="BH240">
            <v>35799714285.714287</v>
          </cell>
          <cell r="BI240">
            <v>36169428571.428574</v>
          </cell>
          <cell r="BJ240">
            <v>37926285714.285713</v>
          </cell>
          <cell r="BK240">
            <v>40765428571.428574</v>
          </cell>
          <cell r="BL240">
            <v>44220285714.285713</v>
          </cell>
          <cell r="BM240">
            <v>45610571428.571426</v>
          </cell>
        </row>
        <row r="241">
          <cell r="B241" t="str">
            <v>TLA</v>
          </cell>
          <cell r="C241" t="str">
            <v>GDP (current US$)</v>
          </cell>
          <cell r="D241" t="str">
            <v>NY.GDP.MKTP.CD</v>
          </cell>
          <cell r="E241">
            <v>79315282447.444824</v>
          </cell>
          <cell r="F241">
            <v>84250590001.338409</v>
          </cell>
          <cell r="G241">
            <v>92203741567.232025</v>
          </cell>
          <cell r="H241">
            <v>93477829839.747818</v>
          </cell>
          <cell r="I241">
            <v>103971029018.66809</v>
          </cell>
          <cell r="J241">
            <v>111624496289.09074</v>
          </cell>
          <cell r="K241">
            <v>122890761036.25162</v>
          </cell>
          <cell r="L241">
            <v>124995671389.65279</v>
          </cell>
          <cell r="M241">
            <v>133972063278.55006</v>
          </cell>
          <cell r="N241">
            <v>149564865387.49792</v>
          </cell>
          <cell r="O241">
            <v>163035462319.48221</v>
          </cell>
          <cell r="P241">
            <v>181256770704.05496</v>
          </cell>
          <cell r="Q241">
            <v>203566728912.76361</v>
          </cell>
          <cell r="R241">
            <v>273148758074.2597</v>
          </cell>
          <cell r="S241">
            <v>357287703638.82416</v>
          </cell>
          <cell r="T241">
            <v>373551821303.1225</v>
          </cell>
          <cell r="U241">
            <v>410203988414.58179</v>
          </cell>
          <cell r="V241">
            <v>451343454783.01581</v>
          </cell>
          <cell r="W241">
            <v>541143245103.21667</v>
          </cell>
          <cell r="X241">
            <v>607151446385.03821</v>
          </cell>
          <cell r="Y241">
            <v>742956710455.854</v>
          </cell>
          <cell r="Z241">
            <v>851543041538.72656</v>
          </cell>
          <cell r="AA241">
            <v>784904152926.70142</v>
          </cell>
          <cell r="AB241">
            <v>680609173310.11353</v>
          </cell>
          <cell r="AC241">
            <v>714278722532.59607</v>
          </cell>
          <cell r="AD241">
            <v>705537546137.0293</v>
          </cell>
          <cell r="AE241">
            <v>711641297660.48059</v>
          </cell>
          <cell r="AF241">
            <v>764012497642.10828</v>
          </cell>
          <cell r="AG241">
            <v>838320487980.65515</v>
          </cell>
          <cell r="AH241">
            <v>929914241888.60522</v>
          </cell>
          <cell r="AI241">
            <v>1112474893935.6306</v>
          </cell>
          <cell r="AJ241">
            <v>1187645180028.5054</v>
          </cell>
          <cell r="AK241">
            <v>1293163079803.5576</v>
          </cell>
          <cell r="AL241">
            <v>1505498659371.3425</v>
          </cell>
          <cell r="AM241">
            <v>1708158258793.4978</v>
          </cell>
          <cell r="AN241">
            <v>1833883373145.9937</v>
          </cell>
          <cell r="AO241">
            <v>1993801976965.8435</v>
          </cell>
          <cell r="AP241">
            <v>2187247412386.5034</v>
          </cell>
          <cell r="AQ241">
            <v>2200298432576.2266</v>
          </cell>
          <cell r="AR241">
            <v>1969284663624.8477</v>
          </cell>
          <cell r="AS241">
            <v>2178185355320.6521</v>
          </cell>
          <cell r="AT241">
            <v>2120324403166.2107</v>
          </cell>
          <cell r="AU241">
            <v>1887242432115.4045</v>
          </cell>
          <cell r="AV241">
            <v>1922534458021.3796</v>
          </cell>
          <cell r="AW241">
            <v>2225384515789.7622</v>
          </cell>
          <cell r="AX241">
            <v>2708927963301.1538</v>
          </cell>
          <cell r="AY241">
            <v>3186236239229.9663</v>
          </cell>
          <cell r="AZ241">
            <v>3773229879831.7275</v>
          </cell>
          <cell r="BA241">
            <v>4409097095011.0547</v>
          </cell>
          <cell r="BB241">
            <v>4130162256669.2144</v>
          </cell>
          <cell r="BC241">
            <v>5159729033221.1113</v>
          </cell>
          <cell r="BD241">
            <v>5887034342421.417</v>
          </cell>
          <cell r="BE241">
            <v>5947252224241.9971</v>
          </cell>
          <cell r="BF241">
            <v>6095171749897.2295</v>
          </cell>
          <cell r="BG241">
            <v>6215504429530.9854</v>
          </cell>
          <cell r="BH241">
            <v>5148471978658.5176</v>
          </cell>
          <cell r="BI241">
            <v>5015399889886.7998</v>
          </cell>
          <cell r="BJ241">
            <v>5593216809529.6348</v>
          </cell>
          <cell r="BK241">
            <v>5464428426578.0957</v>
          </cell>
          <cell r="BL241">
            <v>5371331762438.7959</v>
          </cell>
          <cell r="BM241">
            <v>4529215519228.9238</v>
          </cell>
        </row>
        <row r="242">
          <cell r="B242" t="str">
            <v>TLS</v>
          </cell>
          <cell r="C242" t="str">
            <v>GDP (current US$)</v>
          </cell>
          <cell r="D242" t="str">
            <v>NY.GDP.MKTP.CD</v>
          </cell>
          <cell r="AS242">
            <v>367087900</v>
          </cell>
          <cell r="AT242">
            <v>477443500</v>
          </cell>
          <cell r="AU242">
            <v>469506700</v>
          </cell>
          <cell r="AV242">
            <v>490439100</v>
          </cell>
          <cell r="AW242">
            <v>440764600</v>
          </cell>
          <cell r="AX242">
            <v>462283600</v>
          </cell>
          <cell r="AY242">
            <v>453805100</v>
          </cell>
          <cell r="AZ242">
            <v>542795400</v>
          </cell>
          <cell r="BA242">
            <v>648492700</v>
          </cell>
          <cell r="BB242">
            <v>726882400</v>
          </cell>
          <cell r="BC242">
            <v>881827800</v>
          </cell>
          <cell r="BD242">
            <v>1042411499.9999999</v>
          </cell>
          <cell r="BE242">
            <v>1160389600</v>
          </cell>
          <cell r="BF242">
            <v>1395519600</v>
          </cell>
          <cell r="BG242">
            <v>1447310400</v>
          </cell>
          <cell r="BH242">
            <v>1594447600</v>
          </cell>
          <cell r="BI242">
            <v>1650619400</v>
          </cell>
          <cell r="BJ242">
            <v>1595724300</v>
          </cell>
          <cell r="BK242">
            <v>1563887900</v>
          </cell>
          <cell r="BL242">
            <v>2028551600</v>
          </cell>
          <cell r="BM242">
            <v>2158392500</v>
          </cell>
        </row>
        <row r="243">
          <cell r="B243" t="str">
            <v>TMN</v>
          </cell>
          <cell r="C243" t="str">
            <v>GDP (current US$)</v>
          </cell>
          <cell r="D243" t="str">
            <v>NY.GDP.MKTP.CD</v>
          </cell>
          <cell r="J243">
            <v>23597763392.426659</v>
          </cell>
          <cell r="K243">
            <v>24596781059.612396</v>
          </cell>
          <cell r="L243">
            <v>26628327477.812801</v>
          </cell>
          <cell r="M243">
            <v>29295797647.995251</v>
          </cell>
          <cell r="N243">
            <v>32502994399.445873</v>
          </cell>
          <cell r="O243">
            <v>36710422417.972694</v>
          </cell>
          <cell r="P243">
            <v>42086833718.426872</v>
          </cell>
          <cell r="Q243">
            <v>50218784350.907227</v>
          </cell>
          <cell r="R243">
            <v>66663487502.246193</v>
          </cell>
          <cell r="S243">
            <v>101622548936.70232</v>
          </cell>
          <cell r="T243">
            <v>118247163046.70071</v>
          </cell>
          <cell r="U243">
            <v>145959079987.8324</v>
          </cell>
          <cell r="V243">
            <v>168918635105.69501</v>
          </cell>
          <cell r="W243">
            <v>181557961772.86432</v>
          </cell>
          <cell r="X243">
            <v>226458417647.58807</v>
          </cell>
          <cell r="Y243">
            <v>271186212358.52408</v>
          </cell>
          <cell r="Z243">
            <v>264651823390.35513</v>
          </cell>
          <cell r="AA243">
            <v>303546936551.65314</v>
          </cell>
          <cell r="AB243">
            <v>341135380443.95343</v>
          </cell>
          <cell r="AC243">
            <v>361165794970.42383</v>
          </cell>
          <cell r="AD243">
            <v>393776784308.73804</v>
          </cell>
          <cell r="AE243">
            <v>442524708559.63251</v>
          </cell>
          <cell r="AF243">
            <v>386999801388.47815</v>
          </cell>
          <cell r="AG243">
            <v>355279720214.66681</v>
          </cell>
          <cell r="AH243">
            <v>357272264599.86847</v>
          </cell>
          <cell r="AI243">
            <v>502614551355.26068</v>
          </cell>
          <cell r="AJ243">
            <v>260421226491.20929</v>
          </cell>
          <cell r="AK243">
            <v>286793794636.33862</v>
          </cell>
          <cell r="AL243">
            <v>294466227502.75946</v>
          </cell>
          <cell r="AM243">
            <v>315703229596.62317</v>
          </cell>
          <cell r="AN243">
            <v>367908612877.51666</v>
          </cell>
          <cell r="AO243">
            <v>424485950438.9519</v>
          </cell>
          <cell r="AP243">
            <v>448652490027.75116</v>
          </cell>
          <cell r="AQ243">
            <v>461879719773.79639</v>
          </cell>
          <cell r="AR243">
            <v>501955439650.33441</v>
          </cell>
          <cell r="AS243">
            <v>531861706891.65094</v>
          </cell>
          <cell r="AT243">
            <v>538324769799.7063</v>
          </cell>
          <cell r="AU243">
            <v>524741475874.73541</v>
          </cell>
          <cell r="AV243">
            <v>573739880430.59497</v>
          </cell>
          <cell r="AW243">
            <v>681180472798.75024</v>
          </cell>
          <cell r="AX243">
            <v>803410584369.6145</v>
          </cell>
          <cell r="AY243">
            <v>936957615002.96899</v>
          </cell>
          <cell r="AZ243">
            <v>1142496167090.24</v>
          </cell>
          <cell r="BA243">
            <v>1408940171755.3069</v>
          </cell>
          <cell r="BB243">
            <v>1370510388772.168</v>
          </cell>
          <cell r="BC243">
            <v>1578098820761.4658</v>
          </cell>
          <cell r="BD243">
            <v>1625215002296.0994</v>
          </cell>
          <cell r="BE243">
            <v>1752600151707.2979</v>
          </cell>
          <cell r="BF243">
            <v>1610532044310.3496</v>
          </cell>
          <cell r="BG243">
            <v>1586867031724.6091</v>
          </cell>
          <cell r="BH243">
            <v>1425097281066.1052</v>
          </cell>
          <cell r="BI243">
            <v>1460439514342.2417</v>
          </cell>
          <cell r="BJ243">
            <v>1460779778479.7349</v>
          </cell>
          <cell r="BK243">
            <v>1383769733583.2402</v>
          </cell>
          <cell r="BL243">
            <v>1391491110717.2295</v>
          </cell>
          <cell r="BM243">
            <v>1269397606042.4949</v>
          </cell>
        </row>
        <row r="244">
          <cell r="B244" t="str">
            <v>TON</v>
          </cell>
          <cell r="C244" t="str">
            <v>GDP (current US$)</v>
          </cell>
          <cell r="D244" t="str">
            <v>NY.GDP.MKTP.CD</v>
          </cell>
          <cell r="T244">
            <v>32506741.720120434</v>
          </cell>
          <cell r="U244">
            <v>30036416.961994376</v>
          </cell>
          <cell r="V244">
            <v>34139387.890884899</v>
          </cell>
          <cell r="W244">
            <v>41567471.67219869</v>
          </cell>
          <cell r="X244">
            <v>44667002.012072437</v>
          </cell>
          <cell r="Y244">
            <v>53260077.431109086</v>
          </cell>
          <cell r="Z244">
            <v>62242013.330268905</v>
          </cell>
          <cell r="AA244">
            <v>62068161.071102545</v>
          </cell>
          <cell r="AB244">
            <v>60863963.963963956</v>
          </cell>
          <cell r="AC244">
            <v>64248354.541465558</v>
          </cell>
          <cell r="AD244">
            <v>60058663.314477272</v>
          </cell>
          <cell r="AE244">
            <v>68195855.614973262</v>
          </cell>
          <cell r="AF244">
            <v>81667133.45469822</v>
          </cell>
          <cell r="AG244">
            <v>106657267.36734171</v>
          </cell>
          <cell r="AH244">
            <v>106344854.98609458</v>
          </cell>
          <cell r="AI244">
            <v>113563821.57740392</v>
          </cell>
          <cell r="AJ244">
            <v>132201141.44686103</v>
          </cell>
          <cell r="AK244">
            <v>137066290.55007052</v>
          </cell>
          <cell r="AL244">
            <v>138489884.3930636</v>
          </cell>
          <cell r="AM244">
            <v>195990986.21420997</v>
          </cell>
          <cell r="AN244">
            <v>208871665.74868202</v>
          </cell>
          <cell r="AO244">
            <v>222100576.34548259</v>
          </cell>
          <cell r="AP244">
            <v>214991452.314998</v>
          </cell>
          <cell r="AQ244">
            <v>191504892.76139411</v>
          </cell>
          <cell r="AR244">
            <v>199208752.45367482</v>
          </cell>
          <cell r="AS244">
            <v>204848436.57702062</v>
          </cell>
          <cell r="AT244">
            <v>181117272.4031378</v>
          </cell>
          <cell r="AU244">
            <v>182764299.85451323</v>
          </cell>
          <cell r="AV244">
            <v>202246621.15156144</v>
          </cell>
          <cell r="AW244">
            <v>230657579.05893695</v>
          </cell>
          <cell r="AX244">
            <v>261803692.13041973</v>
          </cell>
          <cell r="AY244">
            <v>292230634.19757283</v>
          </cell>
          <cell r="AZ244">
            <v>298519087.68586427</v>
          </cell>
          <cell r="BA244">
            <v>344436494.40469986</v>
          </cell>
          <cell r="BB244">
            <v>312377751.08712131</v>
          </cell>
          <cell r="BC244">
            <v>366832186.49347609</v>
          </cell>
          <cell r="BD244">
            <v>414533045.12695616</v>
          </cell>
          <cell r="BE244">
            <v>470705334.75604302</v>
          </cell>
          <cell r="BF244">
            <v>450650718.15437937</v>
          </cell>
          <cell r="BG244">
            <v>439877675.69334477</v>
          </cell>
          <cell r="BH244">
            <v>437003006.74478376</v>
          </cell>
          <cell r="BI244">
            <v>420548768.07280481</v>
          </cell>
          <cell r="BJ244">
            <v>460374252.20613706</v>
          </cell>
          <cell r="BK244">
            <v>488906860.87405837</v>
          </cell>
          <cell r="BL244">
            <v>512053639.84263098</v>
          </cell>
          <cell r="BM244">
            <v>484796858.83900863</v>
          </cell>
        </row>
        <row r="245">
          <cell r="B245" t="str">
            <v>TSA</v>
          </cell>
          <cell r="C245" t="str">
            <v>GDP (current US$)</v>
          </cell>
          <cell r="D245" t="str">
            <v>NY.GDP.MKTP.CD</v>
          </cell>
          <cell r="E245">
            <v>47156704038.645477</v>
          </cell>
          <cell r="F245">
            <v>50316837320.196457</v>
          </cell>
          <cell r="G245">
            <v>53705580292.75164</v>
          </cell>
          <cell r="H245">
            <v>60408326895.492905</v>
          </cell>
          <cell r="I245">
            <v>69158968713.736404</v>
          </cell>
          <cell r="J245">
            <v>74274468929.555267</v>
          </cell>
          <cell r="K245">
            <v>62456580600.221931</v>
          </cell>
          <cell r="L245">
            <v>68712964033.034142</v>
          </cell>
          <cell r="M245">
            <v>72018446516.858444</v>
          </cell>
          <cell r="N245">
            <v>79171992803.877899</v>
          </cell>
          <cell r="O245">
            <v>85711844745.380981</v>
          </cell>
          <cell r="P245">
            <v>91169238617.006653</v>
          </cell>
          <cell r="Q245">
            <v>91653327298.465622</v>
          </cell>
          <cell r="R245">
            <v>104781402787.84631</v>
          </cell>
          <cell r="S245">
            <v>126934580819.77943</v>
          </cell>
          <cell r="T245">
            <v>135867507778.86075</v>
          </cell>
          <cell r="U245">
            <v>132608444905.69803</v>
          </cell>
          <cell r="V245">
            <v>153553587500.20929</v>
          </cell>
          <cell r="W245">
            <v>174721808669.43256</v>
          </cell>
          <cell r="X245">
            <v>195693075714.57617</v>
          </cell>
          <cell r="Y245">
            <v>235962137572.70035</v>
          </cell>
          <cell r="Z245">
            <v>250140235557.80493</v>
          </cell>
          <cell r="AA245">
            <v>258792952697.99396</v>
          </cell>
          <cell r="AB245">
            <v>273951368607.72208</v>
          </cell>
          <cell r="AC245">
            <v>272676312680.72052</v>
          </cell>
          <cell r="AD245">
            <v>296510765025.75385</v>
          </cell>
          <cell r="AE245">
            <v>314034899880.35278</v>
          </cell>
          <cell r="AF245">
            <v>348690416778.91943</v>
          </cell>
          <cell r="AG245">
            <v>374679367843.73608</v>
          </cell>
          <cell r="AH245">
            <v>378112968995.0791</v>
          </cell>
          <cell r="AI245">
            <v>407066728402.15186</v>
          </cell>
          <cell r="AJ245">
            <v>362155183204.79938</v>
          </cell>
          <cell r="AK245">
            <v>384619247242.88586</v>
          </cell>
          <cell r="AL245">
            <v>380986910706.29211</v>
          </cell>
          <cell r="AM245">
            <v>432196055451.7215</v>
          </cell>
          <cell r="AN245">
            <v>479707317022.57031</v>
          </cell>
          <cell r="AO245">
            <v>524814569929.73108</v>
          </cell>
          <cell r="AP245">
            <v>550548635667.58289</v>
          </cell>
          <cell r="AQ245">
            <v>558258844530.03101</v>
          </cell>
          <cell r="AR245">
            <v>598146534949.58752</v>
          </cell>
          <cell r="AS245">
            <v>630242098666.01562</v>
          </cell>
          <cell r="AT245">
            <v>645678633202.56824</v>
          </cell>
          <cell r="AU245">
            <v>677426539845.30237</v>
          </cell>
          <cell r="AV245">
            <v>791026613085.97461</v>
          </cell>
          <cell r="AW245">
            <v>917083438858.51855</v>
          </cell>
          <cell r="AX245">
            <v>1050602379999.6323</v>
          </cell>
          <cell r="AY245">
            <v>1196088124853.0815</v>
          </cell>
          <cell r="AZ245">
            <v>1504162366252.8945</v>
          </cell>
          <cell r="BA245">
            <v>1527612730733.4111</v>
          </cell>
          <cell r="BB245">
            <v>1683173926491.5034</v>
          </cell>
          <cell r="BC245">
            <v>2062468955967.6965</v>
          </cell>
          <cell r="BD245">
            <v>2277346353954.8921</v>
          </cell>
          <cell r="BE245">
            <v>2302398278355.3418</v>
          </cell>
          <cell r="BF245">
            <v>2362708983919.2241</v>
          </cell>
          <cell r="BG245">
            <v>2587787935996.415</v>
          </cell>
          <cell r="BH245">
            <v>2704835939982.5103</v>
          </cell>
          <cell r="BI245">
            <v>3010757329892.833</v>
          </cell>
          <cell r="BJ245">
            <v>3433883301221.7539</v>
          </cell>
          <cell r="BK245">
            <v>3534209044993.8716</v>
          </cell>
          <cell r="BL245">
            <v>3658004814522.0083</v>
          </cell>
          <cell r="BM245">
            <v>3490012356687.834</v>
          </cell>
        </row>
        <row r="246">
          <cell r="B246" t="str">
            <v>TSS</v>
          </cell>
          <cell r="C246" t="str">
            <v>GDP (current US$)</v>
          </cell>
          <cell r="D246" t="str">
            <v>NY.GDP.MKTP.CD</v>
          </cell>
          <cell r="E246">
            <v>31038651924.715542</v>
          </cell>
          <cell r="F246">
            <v>32274153936.368973</v>
          </cell>
          <cell r="G246">
            <v>34924550100.162491</v>
          </cell>
          <cell r="H246">
            <v>39974355837.202446</v>
          </cell>
          <cell r="I246">
            <v>39238590134.768959</v>
          </cell>
          <cell r="J246">
            <v>43676575967.691132</v>
          </cell>
          <cell r="K246">
            <v>47114238410.838631</v>
          </cell>
          <cell r="L246">
            <v>46781000881.708023</v>
          </cell>
          <cell r="M246">
            <v>50124977708.063492</v>
          </cell>
          <cell r="N246">
            <v>57259820309.899208</v>
          </cell>
          <cell r="O246">
            <v>67263493916.489464</v>
          </cell>
          <cell r="P246">
            <v>68574658267.438957</v>
          </cell>
          <cell r="Q246">
            <v>77110721964.552673</v>
          </cell>
          <cell r="R246">
            <v>99513486866.777206</v>
          </cell>
          <cell r="S246">
            <v>127887926562.71619</v>
          </cell>
          <cell r="T246">
            <v>140884899647.39822</v>
          </cell>
          <cell r="U246">
            <v>151992519730.33966</v>
          </cell>
          <cell r="V246">
            <v>166741023605.75137</v>
          </cell>
          <cell r="W246">
            <v>186078689801.53705</v>
          </cell>
          <cell r="X246">
            <v>222012586577.62985</v>
          </cell>
          <cell r="Y246">
            <v>282049229145.84839</v>
          </cell>
          <cell r="Z246">
            <v>389887980091.44104</v>
          </cell>
          <cell r="AA246">
            <v>357757127665.33136</v>
          </cell>
          <cell r="AB246">
            <v>314844448352.91608</v>
          </cell>
          <cell r="AC246">
            <v>275683682181.11816</v>
          </cell>
          <cell r="AD246">
            <v>254455395790.10001</v>
          </cell>
          <cell r="AE246">
            <v>261402850880.42871</v>
          </cell>
          <cell r="AF246">
            <v>297209471954.19238</v>
          </cell>
          <cell r="AG246">
            <v>313579138925.44629</v>
          </cell>
          <cell r="AH246">
            <v>319563247910.2099</v>
          </cell>
          <cell r="AI246">
            <v>375424931159.04132</v>
          </cell>
          <cell r="AJ246">
            <v>393456869265.36884</v>
          </cell>
          <cell r="AK246">
            <v>363862082115.38855</v>
          </cell>
          <cell r="AL246">
            <v>340910457626.42743</v>
          </cell>
          <cell r="AM246">
            <v>324862204377.18213</v>
          </cell>
          <cell r="AN246">
            <v>377566591336.15851</v>
          </cell>
          <cell r="AO246">
            <v>394512902071.40643</v>
          </cell>
          <cell r="AP246">
            <v>409664928804.90503</v>
          </cell>
          <cell r="AQ246">
            <v>396136552874.17273</v>
          </cell>
          <cell r="AR246">
            <v>400026185636.78247</v>
          </cell>
          <cell r="AS246">
            <v>424444223042.83087</v>
          </cell>
          <cell r="AT246">
            <v>407309506890.50146</v>
          </cell>
          <cell r="AU246">
            <v>443193859516.71533</v>
          </cell>
          <cell r="AV246">
            <v>558250655633.10706</v>
          </cell>
          <cell r="AW246">
            <v>693314583942.31653</v>
          </cell>
          <cell r="AX246">
            <v>823361208064.24561</v>
          </cell>
          <cell r="AY246">
            <v>973527213201.02441</v>
          </cell>
          <cell r="AZ246">
            <v>1127368649186.1235</v>
          </cell>
          <cell r="BA246">
            <v>1278243727731.7727</v>
          </cell>
          <cell r="BB246">
            <v>1230006172548.7017</v>
          </cell>
          <cell r="BC246">
            <v>1461708684777.3118</v>
          </cell>
          <cell r="BD246">
            <v>1649496095768.7451</v>
          </cell>
          <cell r="BE246">
            <v>1712723978723.0366</v>
          </cell>
          <cell r="BF246">
            <v>1819935185494.1392</v>
          </cell>
          <cell r="BG246">
            <v>1900848872303.1101</v>
          </cell>
          <cell r="BH246">
            <v>1695993210500.2314</v>
          </cell>
          <cell r="BI246">
            <v>1576539841411.969</v>
          </cell>
          <cell r="BJ246">
            <v>1705941956337.7231</v>
          </cell>
          <cell r="BK246">
            <v>1774221939062.4465</v>
          </cell>
          <cell r="BL246">
            <v>1823372470680.0007</v>
          </cell>
          <cell r="BM246">
            <v>1714053357042.6909</v>
          </cell>
        </row>
        <row r="247">
          <cell r="B247" t="str">
            <v>TTO</v>
          </cell>
          <cell r="C247" t="str">
            <v>GDP (current US$)</v>
          </cell>
          <cell r="D247" t="str">
            <v>NY.GDP.MKTP.CD</v>
          </cell>
          <cell r="E247">
            <v>535673252.26033747</v>
          </cell>
          <cell r="F247">
            <v>584964620.67804492</v>
          </cell>
          <cell r="G247">
            <v>619322809.76825619</v>
          </cell>
          <cell r="H247">
            <v>678239329.11907578</v>
          </cell>
          <cell r="I247">
            <v>711897519.95957434</v>
          </cell>
          <cell r="J247">
            <v>736573158.26019704</v>
          </cell>
          <cell r="K247">
            <v>723739857.01546407</v>
          </cell>
          <cell r="L247">
            <v>761981839.09516215</v>
          </cell>
          <cell r="M247">
            <v>758899949.62055004</v>
          </cell>
          <cell r="N247">
            <v>779199999.61039996</v>
          </cell>
          <cell r="O247">
            <v>821849999.58907497</v>
          </cell>
          <cell r="P247">
            <v>896765145.61911929</v>
          </cell>
          <cell r="Q247">
            <v>1083391921.2216249</v>
          </cell>
          <cell r="R247">
            <v>1308785739.5343745</v>
          </cell>
          <cell r="S247">
            <v>2042001159.2311893</v>
          </cell>
          <cell r="T247">
            <v>2442670280.2716794</v>
          </cell>
          <cell r="U247">
            <v>2500424512.0740237</v>
          </cell>
          <cell r="V247">
            <v>3138666667.9744449</v>
          </cell>
          <cell r="W247">
            <v>3562333459.8176394</v>
          </cell>
          <cell r="X247">
            <v>4602416626.9176741</v>
          </cell>
          <cell r="Y247">
            <v>6235833335.9315977</v>
          </cell>
          <cell r="Z247">
            <v>6992083336.2467022</v>
          </cell>
          <cell r="AA247">
            <v>8140416670.0585079</v>
          </cell>
          <cell r="AB247">
            <v>7763750003.2348967</v>
          </cell>
          <cell r="AC247">
            <v>7757083334.6800594</v>
          </cell>
          <cell r="AD247">
            <v>7375918367.3469381</v>
          </cell>
          <cell r="AE247">
            <v>4794444444.4444447</v>
          </cell>
          <cell r="AF247">
            <v>4797777777.7777777</v>
          </cell>
          <cell r="AG247">
            <v>4496910569.105691</v>
          </cell>
          <cell r="AH247">
            <v>4323058823.5294113</v>
          </cell>
          <cell r="AI247">
            <v>5068000000</v>
          </cell>
          <cell r="AJ247">
            <v>5307905882.3529415</v>
          </cell>
          <cell r="AK247">
            <v>5439552941.1764708</v>
          </cell>
          <cell r="AL247">
            <v>4669491425.1221991</v>
          </cell>
          <cell r="AM247">
            <v>4947181506.3893137</v>
          </cell>
          <cell r="AN247">
            <v>5329217896.5457125</v>
          </cell>
          <cell r="AO247">
            <v>5759570495.9659786</v>
          </cell>
          <cell r="AP247">
            <v>5737771217.1691523</v>
          </cell>
          <cell r="AQ247">
            <v>6043687133.4084597</v>
          </cell>
          <cell r="AR247">
            <v>6808982520.7575932</v>
          </cell>
          <cell r="AS247">
            <v>8154342547.5636997</v>
          </cell>
          <cell r="AT247">
            <v>8824849662.9616013</v>
          </cell>
          <cell r="AU247">
            <v>9008297748.0589294</v>
          </cell>
          <cell r="AV247">
            <v>11305459802.068275</v>
          </cell>
          <cell r="AW247">
            <v>13280292692.3489</v>
          </cell>
          <cell r="AX247">
            <v>15982388172.71582</v>
          </cell>
          <cell r="AY247">
            <v>18369361094.388645</v>
          </cell>
          <cell r="AZ247">
            <v>21641620049.935211</v>
          </cell>
          <cell r="BA247">
            <v>27871587349.541267</v>
          </cell>
          <cell r="BB247">
            <v>19172165225.501511</v>
          </cell>
          <cell r="BC247">
            <v>22157919433.875221</v>
          </cell>
          <cell r="BD247">
            <v>25433008605.040718</v>
          </cell>
          <cell r="BE247">
            <v>27121712418.53492</v>
          </cell>
          <cell r="BF247">
            <v>28557451149.868626</v>
          </cell>
          <cell r="BG247">
            <v>29489012806.89048</v>
          </cell>
          <cell r="BH247">
            <v>26851970249.303196</v>
          </cell>
          <cell r="BI247">
            <v>23496215880.52121</v>
          </cell>
          <cell r="BJ247">
            <v>23797686961.844673</v>
          </cell>
          <cell r="BK247">
            <v>24322359037.408974</v>
          </cell>
          <cell r="BL247">
            <v>23849557811.395931</v>
          </cell>
          <cell r="BM247">
            <v>21059428846.015331</v>
          </cell>
        </row>
        <row r="248">
          <cell r="B248" t="str">
            <v>TUN</v>
          </cell>
          <cell r="C248" t="str">
            <v>GDP (current US$)</v>
          </cell>
          <cell r="D248" t="str">
            <v>NY.GDP.MKTP.CD</v>
          </cell>
          <cell r="J248">
            <v>991047619.9442811</v>
          </cell>
          <cell r="K248">
            <v>1040952381.8941951</v>
          </cell>
          <cell r="L248">
            <v>1085714286.6965988</v>
          </cell>
          <cell r="M248">
            <v>1214666667.7656507</v>
          </cell>
          <cell r="N248">
            <v>1289904763.0718186</v>
          </cell>
          <cell r="O248">
            <v>1439238096.5402632</v>
          </cell>
          <cell r="P248">
            <v>1685163348.0167296</v>
          </cell>
          <cell r="Q248">
            <v>2237554586.7161956</v>
          </cell>
          <cell r="R248">
            <v>2730814468.1191301</v>
          </cell>
          <cell r="S248">
            <v>3545865875.5179176</v>
          </cell>
          <cell r="T248">
            <v>4328969185.4382687</v>
          </cell>
          <cell r="U248">
            <v>4508191952.6749277</v>
          </cell>
          <cell r="V248">
            <v>5109324009.3240089</v>
          </cell>
          <cell r="W248">
            <v>5968462484.6810846</v>
          </cell>
          <cell r="X248">
            <v>7188855078.1163216</v>
          </cell>
          <cell r="Y248">
            <v>8744134354.1615219</v>
          </cell>
          <cell r="Z248">
            <v>8428442466.4199324</v>
          </cell>
          <cell r="AA248">
            <v>8133573180.6303225</v>
          </cell>
          <cell r="AB248">
            <v>8350586859.9735374</v>
          </cell>
          <cell r="AC248">
            <v>8254537657.2916384</v>
          </cell>
          <cell r="AD248">
            <v>8410227733.1532745</v>
          </cell>
          <cell r="AE248">
            <v>9017804761.5799122</v>
          </cell>
          <cell r="AF248">
            <v>9696710059.8856602</v>
          </cell>
          <cell r="AG248">
            <v>10096243800.789803</v>
          </cell>
          <cell r="AH248">
            <v>10101853518.085302</v>
          </cell>
          <cell r="AI248">
            <v>12290568181.818182</v>
          </cell>
          <cell r="AJ248">
            <v>13074782608.695652</v>
          </cell>
          <cell r="AK248">
            <v>15496702219.87714</v>
          </cell>
          <cell r="AL248">
            <v>14608340459.447517</v>
          </cell>
          <cell r="AM248">
            <v>15633171728.322289</v>
          </cell>
          <cell r="AN248">
            <v>18030876599.344402</v>
          </cell>
          <cell r="AO248">
            <v>19587155099.350227</v>
          </cell>
          <cell r="AP248">
            <v>20746204100.701599</v>
          </cell>
          <cell r="AQ248">
            <v>21802893587.125954</v>
          </cell>
          <cell r="AR248">
            <v>22943202174.966805</v>
          </cell>
          <cell r="AS248">
            <v>21473522938.680275</v>
          </cell>
          <cell r="AT248">
            <v>22065840117.466137</v>
          </cell>
          <cell r="AU248">
            <v>23141611178.842781</v>
          </cell>
          <cell r="AV248">
            <v>27453895158.943253</v>
          </cell>
          <cell r="AW248">
            <v>31183893587.410255</v>
          </cell>
          <cell r="AX248">
            <v>32272178403.514713</v>
          </cell>
          <cell r="AY248">
            <v>34376664600.589775</v>
          </cell>
          <cell r="AZ248">
            <v>38915343743.29335</v>
          </cell>
          <cell r="BA248">
            <v>44859452038.11779</v>
          </cell>
          <cell r="BB248">
            <v>43455740497.306107</v>
          </cell>
          <cell r="BC248">
            <v>46206091937.96283</v>
          </cell>
          <cell r="BD248">
            <v>48123314430.487755</v>
          </cell>
          <cell r="BE248">
            <v>47311411909.703407</v>
          </cell>
          <cell r="BF248">
            <v>48685436425.094604</v>
          </cell>
          <cell r="BG248">
            <v>50271812920.612015</v>
          </cell>
          <cell r="BH248">
            <v>45779494041.929527</v>
          </cell>
          <cell r="BI248">
            <v>44360065796.620232</v>
          </cell>
          <cell r="BJ248">
            <v>42163530590.946198</v>
          </cell>
          <cell r="BK248">
            <v>42686509835.528748</v>
          </cell>
          <cell r="BL248">
            <v>41905637658.605339</v>
          </cell>
          <cell r="BM248">
            <v>42538462678.120132</v>
          </cell>
        </row>
        <row r="249">
          <cell r="B249" t="str">
            <v>TUR</v>
          </cell>
          <cell r="C249" t="str">
            <v>GDP (current US$)</v>
          </cell>
          <cell r="D249" t="str">
            <v>NY.GDP.MKTP.CD</v>
          </cell>
          <cell r="E249">
            <v>7552470818.8086538</v>
          </cell>
          <cell r="F249">
            <v>7971175166.2971172</v>
          </cell>
          <cell r="G249">
            <v>8902439024.3902435</v>
          </cell>
          <cell r="H249">
            <v>10332594235.033258</v>
          </cell>
          <cell r="I249">
            <v>11129344520.350536</v>
          </cell>
          <cell r="J249">
            <v>11913716815.477182</v>
          </cell>
          <cell r="K249">
            <v>14037610621.02186</v>
          </cell>
          <cell r="L249">
            <v>15575221240.660976</v>
          </cell>
          <cell r="M249">
            <v>17422566373.608692</v>
          </cell>
          <cell r="N249">
            <v>19380530975.595192</v>
          </cell>
          <cell r="O249">
            <v>17345632697.828102</v>
          </cell>
          <cell r="P249">
            <v>16311659192.367985</v>
          </cell>
          <cell r="Q249">
            <v>20431095406.360424</v>
          </cell>
          <cell r="R249">
            <v>25724381625.441696</v>
          </cell>
          <cell r="S249">
            <v>35599700823.376595</v>
          </cell>
          <cell r="T249">
            <v>44633449700.568649</v>
          </cell>
          <cell r="U249">
            <v>51279868356.626083</v>
          </cell>
          <cell r="V249">
            <v>58675998836.73851</v>
          </cell>
          <cell r="W249">
            <v>65146575335.74617</v>
          </cell>
          <cell r="X249">
            <v>89392647416.600189</v>
          </cell>
          <cell r="Y249">
            <v>68789214177.120407</v>
          </cell>
          <cell r="Z249">
            <v>71040286283.518295</v>
          </cell>
          <cell r="AA249">
            <v>64546167132.12442</v>
          </cell>
          <cell r="AB249">
            <v>61678257318.300354</v>
          </cell>
          <cell r="AC249">
            <v>59990263932.898346</v>
          </cell>
          <cell r="AD249">
            <v>67234937530.723648</v>
          </cell>
          <cell r="AE249">
            <v>75727813488.765869</v>
          </cell>
          <cell r="AF249">
            <v>87168298081.867874</v>
          </cell>
          <cell r="AG249">
            <v>90853080152.213547</v>
          </cell>
          <cell r="AH249">
            <v>107143390749.85794</v>
          </cell>
          <cell r="AI249">
            <v>150676194826.80942</v>
          </cell>
          <cell r="AJ249">
            <v>151041399039.06763</v>
          </cell>
          <cell r="AK249">
            <v>159094972321.74783</v>
          </cell>
          <cell r="AL249">
            <v>180421862247.80533</v>
          </cell>
          <cell r="AM249">
            <v>130651877908.19547</v>
          </cell>
          <cell r="AN249">
            <v>169319354340.47952</v>
          </cell>
          <cell r="AO249">
            <v>181464650312.2713</v>
          </cell>
          <cell r="AP249">
            <v>189878399894.64328</v>
          </cell>
          <cell r="AQ249">
            <v>275941726172.3833</v>
          </cell>
          <cell r="AR249">
            <v>256395983758.49042</v>
          </cell>
          <cell r="AS249">
            <v>274294842523.05392</v>
          </cell>
          <cell r="AT249">
            <v>201753110088.57913</v>
          </cell>
          <cell r="AU249">
            <v>240249005455.21835</v>
          </cell>
          <cell r="AV249">
            <v>314595528425.30713</v>
          </cell>
          <cell r="AW249">
            <v>408865358516.58734</v>
          </cell>
          <cell r="AX249">
            <v>506314676837.41534</v>
          </cell>
          <cell r="AY249">
            <v>557075996577.46594</v>
          </cell>
          <cell r="AZ249">
            <v>681321173796.05347</v>
          </cell>
          <cell r="BA249">
            <v>770449308781.33838</v>
          </cell>
          <cell r="BB249">
            <v>649289418603.01306</v>
          </cell>
          <cell r="BC249">
            <v>776967457763.60205</v>
          </cell>
          <cell r="BD249">
            <v>838785514058.56177</v>
          </cell>
          <cell r="BE249">
            <v>880555912745.58154</v>
          </cell>
          <cell r="BF249">
            <v>957798998031.2771</v>
          </cell>
          <cell r="BG249">
            <v>938934430070.6593</v>
          </cell>
          <cell r="BH249">
            <v>864313960482.34265</v>
          </cell>
          <cell r="BI249">
            <v>869682954136.20776</v>
          </cell>
          <cell r="BJ249">
            <v>858988578709.75549</v>
          </cell>
          <cell r="BK249">
            <v>778476714087.96228</v>
          </cell>
          <cell r="BL249">
            <v>759934804372.31897</v>
          </cell>
          <cell r="BM249">
            <v>720288811761.91492</v>
          </cell>
        </row>
        <row r="250">
          <cell r="B250" t="str">
            <v>TUV</v>
          </cell>
          <cell r="C250" t="str">
            <v>GDP (current US$)</v>
          </cell>
          <cell r="D250" t="str">
            <v>NY.GDP.MKTP.CD</v>
          </cell>
          <cell r="AI250">
            <v>8824746.2381315194</v>
          </cell>
          <cell r="AJ250">
            <v>9365488.1152763572</v>
          </cell>
          <cell r="AK250">
            <v>9742603.6335862782</v>
          </cell>
          <cell r="AL250">
            <v>9631024.9156783801</v>
          </cell>
          <cell r="AM250">
            <v>10887216.909025246</v>
          </cell>
          <cell r="AN250">
            <v>11025679.514763357</v>
          </cell>
          <cell r="AO250">
            <v>12335200.164858559</v>
          </cell>
          <cell r="AP250">
            <v>12701093.974973653</v>
          </cell>
          <cell r="AQ250">
            <v>12757405.79229128</v>
          </cell>
          <cell r="AR250">
            <v>13687141.105877798</v>
          </cell>
          <cell r="AS250">
            <v>15073978.448075913</v>
          </cell>
          <cell r="AT250">
            <v>13964728.71574924</v>
          </cell>
          <cell r="AU250">
            <v>16842677.170701891</v>
          </cell>
          <cell r="AV250">
            <v>19456335.928772472</v>
          </cell>
          <cell r="AW250">
            <v>22798266.596310727</v>
          </cell>
          <cell r="AX250">
            <v>22909973.984451823</v>
          </cell>
          <cell r="AY250">
            <v>24096867.470445465</v>
          </cell>
          <cell r="AZ250">
            <v>28450156.789650839</v>
          </cell>
          <cell r="BA250">
            <v>31874425.94578281</v>
          </cell>
          <cell r="BB250">
            <v>28076988.129093822</v>
          </cell>
          <cell r="BC250">
            <v>32105394.152927268</v>
          </cell>
          <cell r="BD250">
            <v>39196949.344062313</v>
          </cell>
          <cell r="BE250">
            <v>39345578.223376662</v>
          </cell>
          <cell r="BF250">
            <v>38615887.033820502</v>
          </cell>
          <cell r="BG250">
            <v>38760972.423031457</v>
          </cell>
          <cell r="BH250">
            <v>36811928.824139975</v>
          </cell>
          <cell r="BI250">
            <v>41629064.965341605</v>
          </cell>
          <cell r="BJ250">
            <v>45276606.001455076</v>
          </cell>
          <cell r="BK250">
            <v>48015219.952623434</v>
          </cell>
          <cell r="BL250">
            <v>54123195.272750162</v>
          </cell>
          <cell r="BM250">
            <v>51746568.69711905</v>
          </cell>
        </row>
        <row r="251">
          <cell r="B251" t="str">
            <v>TZA</v>
          </cell>
          <cell r="C251" t="str">
            <v>GDP (current US$)</v>
          </cell>
          <cell r="D251" t="str">
            <v>NY.GDP.MKTP.CD</v>
          </cell>
          <cell r="AG251">
            <v>5100405344.3992252</v>
          </cell>
          <cell r="AH251">
            <v>4420167588.5762539</v>
          </cell>
          <cell r="AI251">
            <v>4258742898.9379468</v>
          </cell>
          <cell r="AJ251">
            <v>4956587901.6186543</v>
          </cell>
          <cell r="AK251">
            <v>4601413521.1310244</v>
          </cell>
          <cell r="AL251">
            <v>4257702021.4430189</v>
          </cell>
          <cell r="AM251">
            <v>4510847189.1543074</v>
          </cell>
          <cell r="AN251">
            <v>5255221043.8386106</v>
          </cell>
          <cell r="AO251">
            <v>6496195823.9699259</v>
          </cell>
          <cell r="AP251">
            <v>7683852496.8449945</v>
          </cell>
          <cell r="AQ251">
            <v>12270448546.35836</v>
          </cell>
          <cell r="AR251">
            <v>12711213451.034033</v>
          </cell>
          <cell r="AS251">
            <v>13375976353.699392</v>
          </cell>
          <cell r="AT251">
            <v>13581644245.735195</v>
          </cell>
          <cell r="AU251">
            <v>14142035080.284897</v>
          </cell>
          <cell r="AV251">
            <v>15224257698.482018</v>
          </cell>
          <cell r="AW251">
            <v>16675948414.757336</v>
          </cell>
          <cell r="AX251">
            <v>18399046025.268791</v>
          </cell>
          <cell r="AY251">
            <v>18649590248.262638</v>
          </cell>
          <cell r="AZ251">
            <v>21843529024.915356</v>
          </cell>
          <cell r="BA251">
            <v>27961527622.715405</v>
          </cell>
          <cell r="BB251">
            <v>29081826158.678692</v>
          </cell>
          <cell r="BC251">
            <v>32014247547.514553</v>
          </cell>
          <cell r="BD251">
            <v>34657141720.675934</v>
          </cell>
          <cell r="BE251">
            <v>39650522645.981102</v>
          </cell>
          <cell r="BF251">
            <v>45680532613.759094</v>
          </cell>
          <cell r="BG251">
            <v>49964825081.107849</v>
          </cell>
          <cell r="BH251">
            <v>47378603783.647087</v>
          </cell>
          <cell r="BI251">
            <v>49774004999.203758</v>
          </cell>
          <cell r="BJ251">
            <v>53275968094.853302</v>
          </cell>
          <cell r="BK251">
            <v>57003686049.410156</v>
          </cell>
          <cell r="BL251">
            <v>61026765850.305389</v>
          </cell>
          <cell r="BM251">
            <v>66068737757.265091</v>
          </cell>
        </row>
        <row r="252">
          <cell r="B252" t="str">
            <v>UGA</v>
          </cell>
          <cell r="C252" t="str">
            <v>GDP (current US$)</v>
          </cell>
          <cell r="D252" t="str">
            <v>NY.GDP.MKTP.CD</v>
          </cell>
          <cell r="E252">
            <v>423008385.7442348</v>
          </cell>
          <cell r="F252">
            <v>441524109.01467508</v>
          </cell>
          <cell r="G252">
            <v>449012578.6163522</v>
          </cell>
          <cell r="H252">
            <v>516147798.74213839</v>
          </cell>
          <cell r="I252">
            <v>589056603.77358496</v>
          </cell>
          <cell r="J252">
            <v>884502309.06929874</v>
          </cell>
          <cell r="K252">
            <v>925381491.44477105</v>
          </cell>
          <cell r="L252">
            <v>967240654.21965563</v>
          </cell>
          <cell r="M252">
            <v>1037379251.3775725</v>
          </cell>
          <cell r="N252">
            <v>1168556627.6988661</v>
          </cell>
          <cell r="O252">
            <v>1259554807.6442673</v>
          </cell>
          <cell r="P252">
            <v>1417191654.749685</v>
          </cell>
          <cell r="Q252">
            <v>1490970267.2332597</v>
          </cell>
          <cell r="R252">
            <v>1701817876.6058586</v>
          </cell>
          <cell r="S252">
            <v>2098944967.5076911</v>
          </cell>
          <cell r="T252">
            <v>2359555555.5555558</v>
          </cell>
          <cell r="U252">
            <v>2447300000</v>
          </cell>
          <cell r="V252">
            <v>2936470588.2352939</v>
          </cell>
          <cell r="W252">
            <v>2420260869.5652175</v>
          </cell>
          <cell r="X252">
            <v>2139025000</v>
          </cell>
          <cell r="Y252">
            <v>1244610000</v>
          </cell>
          <cell r="Z252">
            <v>1337300000</v>
          </cell>
          <cell r="AA252">
            <v>2177500000</v>
          </cell>
          <cell r="AB252">
            <v>2240333333.3333335</v>
          </cell>
          <cell r="AC252">
            <v>3615647477.068624</v>
          </cell>
          <cell r="AD252">
            <v>3519695212.5277314</v>
          </cell>
          <cell r="AE252">
            <v>3923244170.4414468</v>
          </cell>
          <cell r="AF252">
            <v>6269522147.4435329</v>
          </cell>
          <cell r="AG252">
            <v>6508931651.666667</v>
          </cell>
          <cell r="AH252">
            <v>5276480789.7539616</v>
          </cell>
          <cell r="AI252">
            <v>4304399314.7988281</v>
          </cell>
          <cell r="AJ252">
            <v>3321729157.6129599</v>
          </cell>
          <cell r="AK252">
            <v>2857457760.9178872</v>
          </cell>
          <cell r="AL252">
            <v>3220439044.1894865</v>
          </cell>
          <cell r="AM252">
            <v>3990430446.7121596</v>
          </cell>
          <cell r="AN252">
            <v>5755818844.5498829</v>
          </cell>
          <cell r="AO252">
            <v>6044585326.9380007</v>
          </cell>
          <cell r="AP252">
            <v>6269333313.1710835</v>
          </cell>
          <cell r="AQ252">
            <v>6584815846.5275383</v>
          </cell>
          <cell r="AR252">
            <v>5998563257.9465895</v>
          </cell>
          <cell r="AS252">
            <v>6193246837.0968733</v>
          </cell>
          <cell r="AT252">
            <v>5840503868.5724554</v>
          </cell>
          <cell r="AU252">
            <v>6178563590.8925371</v>
          </cell>
          <cell r="AV252">
            <v>6606884273.8491907</v>
          </cell>
          <cell r="AW252">
            <v>7939487548.4060478</v>
          </cell>
          <cell r="AX252">
            <v>9239221760.4823246</v>
          </cell>
          <cell r="AY252">
            <v>9977647685.2851486</v>
          </cell>
          <cell r="AZ252">
            <v>11902564496.690805</v>
          </cell>
          <cell r="BA252">
            <v>14440404136.566851</v>
          </cell>
          <cell r="BB252">
            <v>25127805566.451115</v>
          </cell>
          <cell r="BC252">
            <v>26673441432.457886</v>
          </cell>
          <cell r="BD252">
            <v>27871725245.168827</v>
          </cell>
          <cell r="BE252">
            <v>27305915907.99395</v>
          </cell>
          <cell r="BF252">
            <v>28915786520.393501</v>
          </cell>
          <cell r="BG252">
            <v>32612397253.239521</v>
          </cell>
          <cell r="BH252">
            <v>32387183733.020748</v>
          </cell>
          <cell r="BI252">
            <v>29203988697.458973</v>
          </cell>
          <cell r="BJ252">
            <v>30744473839.743942</v>
          </cell>
          <cell r="BK252">
            <v>32927025621.384838</v>
          </cell>
          <cell r="BL252">
            <v>35348155092.291977</v>
          </cell>
          <cell r="BM252">
            <v>37605430214.347031</v>
          </cell>
        </row>
        <row r="253">
          <cell r="B253" t="str">
            <v>UKR</v>
          </cell>
          <cell r="C253" t="str">
            <v>GDP (current US$)</v>
          </cell>
          <cell r="D253" t="str">
            <v>NY.GDP.MKTP.CD</v>
          </cell>
          <cell r="AF253">
            <v>64087694038.233315</v>
          </cell>
          <cell r="AG253">
            <v>74703517902.664246</v>
          </cell>
          <cell r="AH253">
            <v>82709161099.12439</v>
          </cell>
          <cell r="AI253">
            <v>81393558423.440628</v>
          </cell>
          <cell r="AJ253">
            <v>77350733982.445801</v>
          </cell>
          <cell r="AK253">
            <v>73945908383.704575</v>
          </cell>
          <cell r="AL253">
            <v>65648559903.057068</v>
          </cell>
          <cell r="AM253">
            <v>52549553403.030418</v>
          </cell>
          <cell r="AN253">
            <v>48213867647.452347</v>
          </cell>
          <cell r="AO253">
            <v>44558841762.366707</v>
          </cell>
          <cell r="AP253">
            <v>50151522612.008202</v>
          </cell>
          <cell r="AQ253">
            <v>41882529044.549095</v>
          </cell>
          <cell r="AR253">
            <v>31580642102.43858</v>
          </cell>
          <cell r="AS253">
            <v>32375081951.141823</v>
          </cell>
          <cell r="AT253">
            <v>39309580983.228165</v>
          </cell>
          <cell r="AU253">
            <v>43956163612.043274</v>
          </cell>
          <cell r="AV253">
            <v>52010352502.005745</v>
          </cell>
          <cell r="AW253">
            <v>67220154164.316605</v>
          </cell>
          <cell r="AX253">
            <v>89238865118.52626</v>
          </cell>
          <cell r="AY253">
            <v>111884752475.24753</v>
          </cell>
          <cell r="AZ253">
            <v>148733861386.13861</v>
          </cell>
          <cell r="BA253">
            <v>188110375778.93088</v>
          </cell>
          <cell r="BB253">
            <v>121552148243.7478</v>
          </cell>
          <cell r="BC253">
            <v>141209163012.94052</v>
          </cell>
          <cell r="BD253">
            <v>169333838743.70456</v>
          </cell>
          <cell r="BE253">
            <v>182591746211.41849</v>
          </cell>
          <cell r="BF253">
            <v>190498811460.02753</v>
          </cell>
          <cell r="BG253">
            <v>133503867181.97134</v>
          </cell>
          <cell r="BH253">
            <v>91030968761.415527</v>
          </cell>
          <cell r="BI253">
            <v>93355868977.661942</v>
          </cell>
          <cell r="BJ253">
            <v>112090503817.39868</v>
          </cell>
          <cell r="BK253">
            <v>130891086689.52171</v>
          </cell>
          <cell r="BL253">
            <v>153883045524.93103</v>
          </cell>
          <cell r="BM253">
            <v>156617719786.25385</v>
          </cell>
        </row>
        <row r="254">
          <cell r="B254" t="str">
            <v>UMC</v>
          </cell>
          <cell r="C254" t="str">
            <v>GDP (current US$)</v>
          </cell>
          <cell r="D254" t="str">
            <v>NY.GDP.MKTP.CD</v>
          </cell>
          <cell r="E254">
            <v>229313536534.4924</v>
          </cell>
          <cell r="F254">
            <v>217557259638.34637</v>
          </cell>
          <cell r="G254">
            <v>223123039214.31985</v>
          </cell>
          <cell r="H254">
            <v>234129505241.67825</v>
          </cell>
          <cell r="I254">
            <v>268661015368.31229</v>
          </cell>
          <cell r="J254">
            <v>300143481292.05811</v>
          </cell>
          <cell r="K254">
            <v>331542693710.85431</v>
          </cell>
          <cell r="L254">
            <v>333642404111.70752</v>
          </cell>
          <cell r="M254">
            <v>350115035911.56311</v>
          </cell>
          <cell r="N254">
            <v>392809511713.55182</v>
          </cell>
          <cell r="O254">
            <v>430722632315.81335</v>
          </cell>
          <cell r="P254">
            <v>467247859712.1394</v>
          </cell>
          <cell r="Q254">
            <v>531816361499.83368</v>
          </cell>
          <cell r="R254">
            <v>694386737370.90906</v>
          </cell>
          <cell r="S254">
            <v>868560009321.68713</v>
          </cell>
          <cell r="T254">
            <v>959658335595.18591</v>
          </cell>
          <cell r="U254">
            <v>1018860419509.7654</v>
          </cell>
          <cell r="V254">
            <v>1133358764185.8252</v>
          </cell>
          <cell r="W254">
            <v>1262847704203.5071</v>
          </cell>
          <cell r="X254">
            <v>1461209943939.2891</v>
          </cell>
          <cell r="Y254">
            <v>1716330585868.3389</v>
          </cell>
          <cell r="Z254">
            <v>1864136131757.0044</v>
          </cell>
          <cell r="AA254">
            <v>1791984785032.2722</v>
          </cell>
          <cell r="AB254">
            <v>1695520751625.6057</v>
          </cell>
          <cell r="AC254">
            <v>1802314273336.4961</v>
          </cell>
          <cell r="AD254">
            <v>1834108045681.4451</v>
          </cell>
          <cell r="AE254">
            <v>1857700185343.2866</v>
          </cell>
          <cell r="AF254">
            <v>1989957753559.5876</v>
          </cell>
          <cell r="AG254">
            <v>2185346524589.5173</v>
          </cell>
          <cell r="AH254">
            <v>2333154208117.5356</v>
          </cell>
          <cell r="AI254">
            <v>2756767439045.5283</v>
          </cell>
          <cell r="AJ254">
            <v>2677432849078.8882</v>
          </cell>
          <cell r="AK254">
            <v>2794814023931.1772</v>
          </cell>
          <cell r="AL254">
            <v>3068883874615.938</v>
          </cell>
          <cell r="AM254">
            <v>3345607407893.0938</v>
          </cell>
          <cell r="AN254">
            <v>3744627507199.1069</v>
          </cell>
          <cell r="AO254">
            <v>4082479563769.8394</v>
          </cell>
          <cell r="AP254">
            <v>4345555737600.8228</v>
          </cell>
          <cell r="AQ254">
            <v>4166274273158.3149</v>
          </cell>
          <cell r="AR254">
            <v>3987442722574.9106</v>
          </cell>
          <cell r="AS254">
            <v>4418290422685.4941</v>
          </cell>
          <cell r="AT254">
            <v>4434160160761.0654</v>
          </cell>
          <cell r="AU254">
            <v>4499020434440.6592</v>
          </cell>
          <cell r="AV254">
            <v>5052354848145.1582</v>
          </cell>
          <cell r="AW254">
            <v>6029942150777.5225</v>
          </cell>
          <cell r="AX254">
            <v>7222694384206.5547</v>
          </cell>
          <cell r="AY254">
            <v>8602214788409.791</v>
          </cell>
          <cell r="AZ254">
            <v>10635743057387.064</v>
          </cell>
          <cell r="BA254">
            <v>12953100695356.945</v>
          </cell>
          <cell r="BB254">
            <v>12520122233351.977</v>
          </cell>
          <cell r="BC254">
            <v>15356267754831.697</v>
          </cell>
          <cell r="BD254">
            <v>18538276005119.793</v>
          </cell>
          <cell r="BE254">
            <v>19829689458382.633</v>
          </cell>
          <cell r="BF254">
            <v>21215649863990.148</v>
          </cell>
          <cell r="BG254">
            <v>21825453186268.684</v>
          </cell>
          <cell r="BH254">
            <v>20518584369299.016</v>
          </cell>
          <cell r="BI254">
            <v>20476321992810.5</v>
          </cell>
          <cell r="BJ254">
            <v>22654892975159.039</v>
          </cell>
          <cell r="BK254">
            <v>24340482542310.246</v>
          </cell>
          <cell r="BL254">
            <v>24792971685094.875</v>
          </cell>
          <cell r="BM254">
            <v>23928189369748.453</v>
          </cell>
        </row>
        <row r="255">
          <cell r="B255" t="str">
            <v>URY</v>
          </cell>
          <cell r="C255" t="str">
            <v>GDP (current US$)</v>
          </cell>
          <cell r="D255" t="str">
            <v>NY.GDP.MKTP.CD</v>
          </cell>
          <cell r="E255">
            <v>1242289239.2049348</v>
          </cell>
          <cell r="F255">
            <v>1547388781.4313347</v>
          </cell>
          <cell r="G255">
            <v>1710004407.2278535</v>
          </cell>
          <cell r="H255">
            <v>1539681490.7817352</v>
          </cell>
          <cell r="I255">
            <v>1975701816.4661474</v>
          </cell>
          <cell r="J255">
            <v>1890767155.5262198</v>
          </cell>
          <cell r="K255">
            <v>1809185093.5518777</v>
          </cell>
          <cell r="L255">
            <v>1597713469.0961058</v>
          </cell>
          <cell r="M255">
            <v>1593674184.5628517</v>
          </cell>
          <cell r="N255">
            <v>2004435483.8709676</v>
          </cell>
          <cell r="O255">
            <v>2137096774.1935482</v>
          </cell>
          <cell r="P255">
            <v>2807258064.516129</v>
          </cell>
          <cell r="Q255">
            <v>2189418688.8040819</v>
          </cell>
          <cell r="R255">
            <v>3964296443.3525424</v>
          </cell>
          <cell r="S255">
            <v>4090209681.9717207</v>
          </cell>
          <cell r="T255">
            <v>3538278046.9623609</v>
          </cell>
          <cell r="U255">
            <v>3667161241.4837246</v>
          </cell>
          <cell r="V255">
            <v>4114670014.3471999</v>
          </cell>
          <cell r="W255">
            <v>4910254565.5783091</v>
          </cell>
          <cell r="X255">
            <v>7181182224.1122713</v>
          </cell>
          <cell r="Y255">
            <v>10163020115.734362</v>
          </cell>
          <cell r="Z255">
            <v>11048301420.630053</v>
          </cell>
          <cell r="AA255">
            <v>9178780076.9971333</v>
          </cell>
          <cell r="AB255">
            <v>5102276308.4531336</v>
          </cell>
          <cell r="AC255">
            <v>4850238549.6183233</v>
          </cell>
          <cell r="AD255">
            <v>4732025669.964674</v>
          </cell>
          <cell r="AE255">
            <v>5880106316.8263302</v>
          </cell>
          <cell r="AF255">
            <v>7367504969.9585295</v>
          </cell>
          <cell r="AG255">
            <v>8213526913.6628942</v>
          </cell>
          <cell r="AH255">
            <v>8438946947.6022758</v>
          </cell>
          <cell r="AI255">
            <v>9298806525.0990028</v>
          </cell>
          <cell r="AJ255">
            <v>11206174799.561888</v>
          </cell>
          <cell r="AK255">
            <v>12878150209.902861</v>
          </cell>
          <cell r="AL255">
            <v>15002138240.039232</v>
          </cell>
          <cell r="AM255">
            <v>17474590050.721157</v>
          </cell>
          <cell r="AN255">
            <v>19297663096.550636</v>
          </cell>
          <cell r="AO255">
            <v>20515457255.754646</v>
          </cell>
          <cell r="AP255">
            <v>23969738387.671894</v>
          </cell>
          <cell r="AQ255">
            <v>25385887785.585171</v>
          </cell>
          <cell r="AR255">
            <v>23983945190.620232</v>
          </cell>
          <cell r="AS255">
            <v>22823271520.870819</v>
          </cell>
          <cell r="AT255">
            <v>20898762265.265285</v>
          </cell>
          <cell r="AU255">
            <v>13606515935.951958</v>
          </cell>
          <cell r="AV255">
            <v>12045638209.51115</v>
          </cell>
          <cell r="AW255">
            <v>13686329890.119078</v>
          </cell>
          <cell r="AX255">
            <v>17362857683.854469</v>
          </cell>
          <cell r="AY255">
            <v>19741420466.539284</v>
          </cell>
          <cell r="AZ255">
            <v>23797773024.399231</v>
          </cell>
          <cell r="BA255">
            <v>31119603033.989124</v>
          </cell>
          <cell r="BB255">
            <v>32708318594.409977</v>
          </cell>
          <cell r="BC255">
            <v>41950361211.958061</v>
          </cell>
          <cell r="BD255">
            <v>50342405198.245766</v>
          </cell>
          <cell r="BE255">
            <v>54232266358.781075</v>
          </cell>
          <cell r="BF255">
            <v>61337620935.530479</v>
          </cell>
          <cell r="BG255">
            <v>61496186973.901993</v>
          </cell>
          <cell r="BH255">
            <v>57680328702.241035</v>
          </cell>
          <cell r="BI255">
            <v>57480788380.312042</v>
          </cell>
          <cell r="BJ255">
            <v>65006047680.322495</v>
          </cell>
          <cell r="BK255">
            <v>65203071110.603699</v>
          </cell>
          <cell r="BL255">
            <v>62048585618.504982</v>
          </cell>
          <cell r="BM255">
            <v>53666908479.55851</v>
          </cell>
        </row>
        <row r="256">
          <cell r="B256" t="str">
            <v>USA</v>
          </cell>
          <cell r="C256" t="str">
            <v>GDP (current US$)</v>
          </cell>
          <cell r="D256" t="str">
            <v>NY.GDP.MKTP.CD</v>
          </cell>
          <cell r="E256">
            <v>543300000000</v>
          </cell>
          <cell r="F256">
            <v>563300000000</v>
          </cell>
          <cell r="G256">
            <v>605100000000</v>
          </cell>
          <cell r="H256">
            <v>638600000000</v>
          </cell>
          <cell r="I256">
            <v>685800000000</v>
          </cell>
          <cell r="J256">
            <v>743700000000</v>
          </cell>
          <cell r="K256">
            <v>815000000000</v>
          </cell>
          <cell r="L256">
            <v>861700000000</v>
          </cell>
          <cell r="M256">
            <v>942500000000</v>
          </cell>
          <cell r="N256">
            <v>1019900000000</v>
          </cell>
          <cell r="O256">
            <v>1073303000000</v>
          </cell>
          <cell r="P256">
            <v>1164850000000</v>
          </cell>
          <cell r="Q256">
            <v>1279110000000</v>
          </cell>
          <cell r="R256">
            <v>1425376000000</v>
          </cell>
          <cell r="S256">
            <v>1545243000000</v>
          </cell>
          <cell r="T256">
            <v>1684904000000</v>
          </cell>
          <cell r="U256">
            <v>1873412000000</v>
          </cell>
          <cell r="V256">
            <v>2081826000000</v>
          </cell>
          <cell r="W256">
            <v>2351599000000</v>
          </cell>
          <cell r="X256">
            <v>2627333000000</v>
          </cell>
          <cell r="Y256">
            <v>2857307000000</v>
          </cell>
          <cell r="Z256">
            <v>3207041000000</v>
          </cell>
          <cell r="AA256">
            <v>3343789000000</v>
          </cell>
          <cell r="AB256">
            <v>3634038000000</v>
          </cell>
          <cell r="AC256">
            <v>4037613000000</v>
          </cell>
          <cell r="AD256">
            <v>4338979000000</v>
          </cell>
          <cell r="AE256">
            <v>4579631000000</v>
          </cell>
          <cell r="AF256">
            <v>4855215000000</v>
          </cell>
          <cell r="AG256">
            <v>5236438000000</v>
          </cell>
          <cell r="AH256">
            <v>5641580000000</v>
          </cell>
          <cell r="AI256">
            <v>5963144000000</v>
          </cell>
          <cell r="AJ256">
            <v>6158129000000</v>
          </cell>
          <cell r="AK256">
            <v>6520327000000</v>
          </cell>
          <cell r="AL256">
            <v>6858559000000</v>
          </cell>
          <cell r="AM256">
            <v>7287236000000</v>
          </cell>
          <cell r="AN256">
            <v>7639749000000</v>
          </cell>
          <cell r="AO256">
            <v>8073122000000</v>
          </cell>
          <cell r="AP256">
            <v>8577554457000</v>
          </cell>
          <cell r="AQ256">
            <v>9062818202000</v>
          </cell>
          <cell r="AR256">
            <v>9631174489000</v>
          </cell>
          <cell r="AS256">
            <v>10250947997000</v>
          </cell>
          <cell r="AT256">
            <v>10581929774000</v>
          </cell>
          <cell r="AU256">
            <v>10929112955000</v>
          </cell>
          <cell r="AV256">
            <v>11456442041000</v>
          </cell>
          <cell r="AW256">
            <v>12217193198000</v>
          </cell>
          <cell r="AX256">
            <v>13039199193000</v>
          </cell>
          <cell r="AY256">
            <v>13815586948000</v>
          </cell>
          <cell r="AZ256">
            <v>14474226905000</v>
          </cell>
          <cell r="BA256">
            <v>14769857911000</v>
          </cell>
          <cell r="BB256">
            <v>14478064934000</v>
          </cell>
          <cell r="BC256">
            <v>15048964444000</v>
          </cell>
          <cell r="BD256">
            <v>15599728123000</v>
          </cell>
          <cell r="BE256">
            <v>16253972230000</v>
          </cell>
          <cell r="BF256">
            <v>16843190993000</v>
          </cell>
          <cell r="BG256">
            <v>17550680174000</v>
          </cell>
          <cell r="BH256">
            <v>18206020741000</v>
          </cell>
          <cell r="BI256">
            <v>18695110842000</v>
          </cell>
          <cell r="BJ256">
            <v>19477336549000</v>
          </cell>
          <cell r="BK256">
            <v>20533057312000</v>
          </cell>
          <cell r="BL256">
            <v>21380976119000</v>
          </cell>
          <cell r="BM256">
            <v>21060473613000</v>
          </cell>
        </row>
        <row r="257">
          <cell r="B257" t="str">
            <v>UZB</v>
          </cell>
          <cell r="C257" t="str">
            <v>GDP (current US$)</v>
          </cell>
          <cell r="D257" t="str">
            <v>NY.GDP.MKTP.CD</v>
          </cell>
          <cell r="AI257">
            <v>13360607990.675097</v>
          </cell>
          <cell r="AJ257">
            <v>13677622222.222223</v>
          </cell>
          <cell r="AK257">
            <v>12941297376.093296</v>
          </cell>
          <cell r="AL257">
            <v>13099013835.511147</v>
          </cell>
          <cell r="AM257">
            <v>12899156990.615555</v>
          </cell>
          <cell r="AN257">
            <v>13350468917.411453</v>
          </cell>
          <cell r="AO257">
            <v>13948892215.568863</v>
          </cell>
          <cell r="AP257">
            <v>14744603773.584906</v>
          </cell>
          <cell r="AQ257">
            <v>14988971210.838272</v>
          </cell>
          <cell r="AR257">
            <v>17078465982.028242</v>
          </cell>
          <cell r="AS257">
            <v>13760513969.314003</v>
          </cell>
          <cell r="AT257">
            <v>11401421329.197435</v>
          </cell>
          <cell r="AU257">
            <v>9687788512.8018417</v>
          </cell>
          <cell r="AV257">
            <v>10134453435.460291</v>
          </cell>
          <cell r="AW257">
            <v>12030023547.88069</v>
          </cell>
          <cell r="AX257">
            <v>14307509838.805326</v>
          </cell>
          <cell r="AY257">
            <v>17330833852.918976</v>
          </cell>
          <cell r="AZ257">
            <v>22311393927.881721</v>
          </cell>
          <cell r="BA257">
            <v>29549438883.83379</v>
          </cell>
          <cell r="BB257">
            <v>33689223673.257736</v>
          </cell>
          <cell r="BC257">
            <v>49765676402.449455</v>
          </cell>
          <cell r="BD257">
            <v>60178909297.208008</v>
          </cell>
          <cell r="BE257">
            <v>67517349212.060921</v>
          </cell>
          <cell r="BF257">
            <v>73180037913.032532</v>
          </cell>
          <cell r="BG257">
            <v>80845385816.206192</v>
          </cell>
          <cell r="BH257">
            <v>86196264741.942322</v>
          </cell>
          <cell r="BI257">
            <v>86138288633.224091</v>
          </cell>
          <cell r="BJ257">
            <v>62081322741.12281</v>
          </cell>
          <cell r="BK257">
            <v>52870108217.56263</v>
          </cell>
          <cell r="BL257">
            <v>60283503705.390671</v>
          </cell>
          <cell r="BM257">
            <v>60224701295.798332</v>
          </cell>
        </row>
        <row r="258">
          <cell r="B258" t="str">
            <v>VCT</v>
          </cell>
          <cell r="C258" t="str">
            <v>GDP (current US$)</v>
          </cell>
          <cell r="D258" t="str">
            <v>NY.GDP.MKTP.CD</v>
          </cell>
          <cell r="E258">
            <v>13066633.994637216</v>
          </cell>
          <cell r="F258">
            <v>13999964.994254161</v>
          </cell>
          <cell r="G258">
            <v>14524963.681538692</v>
          </cell>
          <cell r="H258">
            <v>13708299.056873865</v>
          </cell>
          <cell r="I258">
            <v>14758296.431442928</v>
          </cell>
          <cell r="J258">
            <v>15108295.55629928</v>
          </cell>
          <cell r="K258">
            <v>16099959.743392285</v>
          </cell>
          <cell r="L258">
            <v>15835103.030105688</v>
          </cell>
          <cell r="M258">
            <v>15349999.992324999</v>
          </cell>
          <cell r="N258">
            <v>16649999.991674997</v>
          </cell>
          <cell r="O258">
            <v>18449999.990775</v>
          </cell>
          <cell r="P258">
            <v>20051925.034989089</v>
          </cell>
          <cell r="Q258">
            <v>27585802.719119396</v>
          </cell>
          <cell r="R258">
            <v>30165077.452595372</v>
          </cell>
          <cell r="S258">
            <v>32923696.177582305</v>
          </cell>
          <cell r="T258">
            <v>33237228.556405962</v>
          </cell>
          <cell r="U258">
            <v>32792846.779526368</v>
          </cell>
          <cell r="V258">
            <v>49353161.851851851</v>
          </cell>
          <cell r="W258">
            <v>60844771.481481478</v>
          </cell>
          <cell r="X258">
            <v>71096359.629629627</v>
          </cell>
          <cell r="Y258">
            <v>82340339.629629627</v>
          </cell>
          <cell r="Z258">
            <v>102086539.25925925</v>
          </cell>
          <cell r="AA258">
            <v>113759203.33333333</v>
          </cell>
          <cell r="AB258">
            <v>122255349.62962963</v>
          </cell>
          <cell r="AC258">
            <v>135024987.77777776</v>
          </cell>
          <cell r="AD258">
            <v>145641705.18518516</v>
          </cell>
          <cell r="AE258">
            <v>160846656.66666666</v>
          </cell>
          <cell r="AF258">
            <v>175580647.4074074</v>
          </cell>
          <cell r="AG258">
            <v>200726712.59259257</v>
          </cell>
          <cell r="AH258">
            <v>214745002.22222221</v>
          </cell>
          <cell r="AI258">
            <v>240366666.66666666</v>
          </cell>
          <cell r="AJ258">
            <v>254829629.62962961</v>
          </cell>
          <cell r="AK258">
            <v>277955555.55555552</v>
          </cell>
          <cell r="AL258">
            <v>286307407.4074074</v>
          </cell>
          <cell r="AM258">
            <v>289437037.03703701</v>
          </cell>
          <cell r="AN258">
            <v>316007407.4074074</v>
          </cell>
          <cell r="AO258">
            <v>331488888.8888889</v>
          </cell>
          <cell r="AP258">
            <v>347770370.37037033</v>
          </cell>
          <cell r="AQ258">
            <v>373618518.51851851</v>
          </cell>
          <cell r="AR258">
            <v>390718518.51851851</v>
          </cell>
          <cell r="AS258">
            <v>427946037.03703701</v>
          </cell>
          <cell r="AT258">
            <v>462072333.33333331</v>
          </cell>
          <cell r="AU258">
            <v>487763851.85185182</v>
          </cell>
          <cell r="AV258">
            <v>509090888.88888884</v>
          </cell>
          <cell r="AW258">
            <v>549900185.18518519</v>
          </cell>
          <cell r="AX258">
            <v>579948925.92592585</v>
          </cell>
          <cell r="AY258">
            <v>643501148.14814806</v>
          </cell>
          <cell r="AZ258">
            <v>713596666.66666663</v>
          </cell>
          <cell r="BA258">
            <v>732663259.25925922</v>
          </cell>
          <cell r="BB258">
            <v>714300259.25925922</v>
          </cell>
          <cell r="BC258">
            <v>720447888.88888884</v>
          </cell>
          <cell r="BD258">
            <v>713796370.37037027</v>
          </cell>
          <cell r="BE258">
            <v>730032592.5925926</v>
          </cell>
          <cell r="BF258">
            <v>764781259.25925922</v>
          </cell>
          <cell r="BG258">
            <v>770901436.44111836</v>
          </cell>
          <cell r="BH258">
            <v>786554580.79686666</v>
          </cell>
          <cell r="BI258">
            <v>814302267.07334816</v>
          </cell>
          <cell r="BJ258">
            <v>844039068.75753331</v>
          </cell>
          <cell r="BK258">
            <v>884328180.52693331</v>
          </cell>
          <cell r="BL258">
            <v>910765709.76875174</v>
          </cell>
          <cell r="BM258">
            <v>869111852.75177777</v>
          </cell>
        </row>
        <row r="259">
          <cell r="B259" t="str">
            <v>VEN</v>
          </cell>
          <cell r="C259" t="str">
            <v>GDP (current US$)</v>
          </cell>
          <cell r="D259" t="str">
            <v>NY.GDP.MKTP.CD</v>
          </cell>
          <cell r="E259">
            <v>7663938303.0717154</v>
          </cell>
          <cell r="F259">
            <v>8067267030.6186256</v>
          </cell>
          <cell r="G259">
            <v>8814309884.211647</v>
          </cell>
          <cell r="H259">
            <v>9608717288.1705704</v>
          </cell>
          <cell r="I259">
            <v>8192413793.1034489</v>
          </cell>
          <cell r="J259">
            <v>8427777777.7777786</v>
          </cell>
          <cell r="K259">
            <v>8781333333.333334</v>
          </cell>
          <cell r="L259">
            <v>9250000000</v>
          </cell>
          <cell r="M259">
            <v>10034444444.444445</v>
          </cell>
          <cell r="N259">
            <v>10285111111.111113</v>
          </cell>
          <cell r="O259">
            <v>11561111111.111113</v>
          </cell>
          <cell r="P259">
            <v>12986590909.090908</v>
          </cell>
          <cell r="Q259">
            <v>13977727272.727272</v>
          </cell>
          <cell r="R259">
            <v>17035581395.348837</v>
          </cell>
          <cell r="S259">
            <v>26100930232.55814</v>
          </cell>
          <cell r="T259">
            <v>27464651162.790699</v>
          </cell>
          <cell r="U259">
            <v>31419534883.720932</v>
          </cell>
          <cell r="V259">
            <v>36210697674.418602</v>
          </cell>
          <cell r="W259">
            <v>39316279069.767441</v>
          </cell>
          <cell r="X259">
            <v>48310930232.558136</v>
          </cell>
          <cell r="Y259">
            <v>59116511627.906975</v>
          </cell>
          <cell r="Z259">
            <v>66327441860.465118</v>
          </cell>
          <cell r="AA259">
            <v>67736744186.046509</v>
          </cell>
          <cell r="AB259">
            <v>67556279069.767441</v>
          </cell>
          <cell r="AC259">
            <v>59867743467.933464</v>
          </cell>
          <cell r="AD259">
            <v>61965466666.666672</v>
          </cell>
          <cell r="AE259">
            <v>60516123711.340233</v>
          </cell>
          <cell r="AF259">
            <v>48029034482.758621</v>
          </cell>
          <cell r="AG259">
            <v>60226413793.103447</v>
          </cell>
          <cell r="AH259">
            <v>43536709104.01149</v>
          </cell>
          <cell r="AI259">
            <v>48606952194.775154</v>
          </cell>
          <cell r="AJ259">
            <v>53453444786.625603</v>
          </cell>
          <cell r="AK259">
            <v>60416519619.790428</v>
          </cell>
          <cell r="AL259">
            <v>60037460783.414345</v>
          </cell>
          <cell r="AM259">
            <v>58418666666.666672</v>
          </cell>
          <cell r="AN259">
            <v>77389487771.546906</v>
          </cell>
          <cell r="AO259">
            <v>70543211119.098969</v>
          </cell>
          <cell r="AP259">
            <v>85837678559.246948</v>
          </cell>
          <cell r="AQ259">
            <v>91336763255.615707</v>
          </cell>
          <cell r="AR259">
            <v>97972842461.513077</v>
          </cell>
          <cell r="AS259">
            <v>117146466003.23538</v>
          </cell>
          <cell r="AT259">
            <v>122911036746.16251</v>
          </cell>
          <cell r="AU259">
            <v>92893587733.654922</v>
          </cell>
          <cell r="AV259">
            <v>83620628582.108154</v>
          </cell>
          <cell r="AW259">
            <v>112451400422.98222</v>
          </cell>
          <cell r="AX259">
            <v>145513489651.87222</v>
          </cell>
          <cell r="AY259">
            <v>183477522123.89383</v>
          </cell>
          <cell r="AZ259">
            <v>230364012575.68701</v>
          </cell>
          <cell r="BA259">
            <v>315953388510.67798</v>
          </cell>
          <cell r="BB259">
            <v>329787628928.4715</v>
          </cell>
          <cell r="BC259">
            <v>393192354510.65308</v>
          </cell>
          <cell r="BD259">
            <v>316482190800.36371</v>
          </cell>
          <cell r="BE259">
            <v>381286237847.66748</v>
          </cell>
          <cell r="BF259">
            <v>371005379786.56622</v>
          </cell>
          <cell r="BG259">
            <v>482359318767.70312</v>
          </cell>
        </row>
        <row r="260">
          <cell r="B260" t="str">
            <v>VGB</v>
          </cell>
          <cell r="C260" t="str">
            <v>GDP (current US$)</v>
          </cell>
          <cell r="D260" t="str">
            <v>NY.GDP.MKTP.CD</v>
          </cell>
        </row>
        <row r="261">
          <cell r="B261" t="str">
            <v>VIR</v>
          </cell>
          <cell r="C261" t="str">
            <v>GDP (current US$)</v>
          </cell>
          <cell r="D261" t="str">
            <v>NY.GDP.MKTP.CD</v>
          </cell>
          <cell r="AU261">
            <v>3262000000</v>
          </cell>
          <cell r="AV261">
            <v>3443000000</v>
          </cell>
          <cell r="AW261">
            <v>3797000000</v>
          </cell>
          <cell r="AX261">
            <v>4428000000</v>
          </cell>
          <cell r="AY261">
            <v>4484000000</v>
          </cell>
          <cell r="AZ261">
            <v>4784000000</v>
          </cell>
          <cell r="BA261">
            <v>4244000000</v>
          </cell>
          <cell r="BB261">
            <v>4201000000</v>
          </cell>
          <cell r="BC261">
            <v>4324000000</v>
          </cell>
          <cell r="BD261">
            <v>4223000000</v>
          </cell>
          <cell r="BE261">
            <v>4089000000</v>
          </cell>
          <cell r="BF261">
            <v>3738000000</v>
          </cell>
          <cell r="BG261">
            <v>3565000000</v>
          </cell>
          <cell r="BH261">
            <v>3663000000</v>
          </cell>
          <cell r="BI261">
            <v>3798000000</v>
          </cell>
          <cell r="BJ261">
            <v>3794000000</v>
          </cell>
          <cell r="BK261">
            <v>3922000000</v>
          </cell>
          <cell r="BL261">
            <v>4117000000</v>
          </cell>
          <cell r="BM261">
            <v>4204000000</v>
          </cell>
        </row>
        <row r="262">
          <cell r="B262" t="str">
            <v>VNM</v>
          </cell>
          <cell r="C262" t="str">
            <v>GDP (current US$)</v>
          </cell>
          <cell r="D262" t="str">
            <v>NY.GDP.MKTP.CD</v>
          </cell>
          <cell r="AD262">
            <v>14094687820.744488</v>
          </cell>
          <cell r="AE262">
            <v>26336616250.439678</v>
          </cell>
          <cell r="AF262">
            <v>36658108850.31485</v>
          </cell>
          <cell r="AG262">
            <v>25423812648.594105</v>
          </cell>
          <cell r="AH262">
            <v>6293304974.5940266</v>
          </cell>
          <cell r="AI262">
            <v>6471740805.5698404</v>
          </cell>
          <cell r="AJ262">
            <v>9613369520.4188499</v>
          </cell>
          <cell r="AK262">
            <v>9866990236.4358749</v>
          </cell>
          <cell r="AL262">
            <v>13180953598.171595</v>
          </cell>
          <cell r="AM262">
            <v>16286433533.322754</v>
          </cell>
          <cell r="AN262">
            <v>20736164458.950462</v>
          </cell>
          <cell r="AO262">
            <v>24657470574.750126</v>
          </cell>
          <cell r="AP262">
            <v>26843700441.548199</v>
          </cell>
          <cell r="AQ262">
            <v>27209602050.045223</v>
          </cell>
          <cell r="AR262">
            <v>28683659006.775219</v>
          </cell>
          <cell r="AS262">
            <v>31172518403.316227</v>
          </cell>
          <cell r="AT262">
            <v>32685198809.29467</v>
          </cell>
          <cell r="AU262">
            <v>35064105500.83445</v>
          </cell>
          <cell r="AV262">
            <v>39552513231.066902</v>
          </cell>
          <cell r="AW262">
            <v>45427854693.255432</v>
          </cell>
          <cell r="AX262">
            <v>57633255739.410408</v>
          </cell>
          <cell r="AY262">
            <v>66371664817.043625</v>
          </cell>
          <cell r="AZ262">
            <v>77414425532.245163</v>
          </cell>
          <cell r="BA262">
            <v>99130304099.127426</v>
          </cell>
          <cell r="BB262">
            <v>106014659563.14328</v>
          </cell>
          <cell r="BC262">
            <v>147201164066.17242</v>
          </cell>
          <cell r="BD262">
            <v>172595034069.16223</v>
          </cell>
          <cell r="BE262">
            <v>195590647205.68466</v>
          </cell>
          <cell r="BF262">
            <v>213708830776.9472</v>
          </cell>
          <cell r="BG262">
            <v>233451484773.97391</v>
          </cell>
          <cell r="BH262">
            <v>239258340825.53262</v>
          </cell>
          <cell r="BI262">
            <v>257096001174.07529</v>
          </cell>
          <cell r="BJ262">
            <v>281353626107.24457</v>
          </cell>
          <cell r="BK262">
            <v>310106472642.96826</v>
          </cell>
          <cell r="BL262">
            <v>334365257920.28882</v>
          </cell>
          <cell r="BM262">
            <v>346615750166.55322</v>
          </cell>
        </row>
        <row r="263">
          <cell r="B263" t="str">
            <v>VUT</v>
          </cell>
          <cell r="C263" t="str">
            <v>GDP (current US$)</v>
          </cell>
          <cell r="D263" t="str">
            <v>NY.GDP.MKTP.CD</v>
          </cell>
          <cell r="X263">
            <v>119258835.3355246</v>
          </cell>
          <cell r="Y263">
            <v>121185497.5692614</v>
          </cell>
          <cell r="Z263">
            <v>113781795.82356022</v>
          </cell>
          <cell r="AA263">
            <v>114501912.52286713</v>
          </cell>
          <cell r="AB263">
            <v>117389554.19140585</v>
          </cell>
          <cell r="AC263">
            <v>144482515.36833617</v>
          </cell>
          <cell r="AD263">
            <v>131856420.70318395</v>
          </cell>
          <cell r="AE263">
            <v>126498935.33564945</v>
          </cell>
          <cell r="AF263">
            <v>139464173.54732406</v>
          </cell>
          <cell r="AG263">
            <v>158351368.43314883</v>
          </cell>
          <cell r="AH263">
            <v>154013202.11647508</v>
          </cell>
          <cell r="AI263">
            <v>168879207.24414828</v>
          </cell>
          <cell r="AJ263">
            <v>201334169.05444124</v>
          </cell>
          <cell r="AK263">
            <v>209088824.60843799</v>
          </cell>
          <cell r="AL263">
            <v>200491853.16784695</v>
          </cell>
          <cell r="AM263">
            <v>233701301.49048579</v>
          </cell>
          <cell r="AN263">
            <v>249333250.08250749</v>
          </cell>
          <cell r="AO263">
            <v>261370044.48661375</v>
          </cell>
          <cell r="AP263">
            <v>272771209.11366183</v>
          </cell>
          <cell r="AQ263">
            <v>262293410.70833415</v>
          </cell>
          <cell r="AR263">
            <v>268006972.69029635</v>
          </cell>
          <cell r="AS263">
            <v>272014627.17651969</v>
          </cell>
          <cell r="AT263">
            <v>257926881.72043011</v>
          </cell>
          <cell r="AU263">
            <v>262596534.92019841</v>
          </cell>
          <cell r="AV263">
            <v>314471413.85965663</v>
          </cell>
          <cell r="AW263">
            <v>364996869.12961799</v>
          </cell>
          <cell r="AX263">
            <v>394962431.82425082</v>
          </cell>
          <cell r="AY263">
            <v>439358585.21191072</v>
          </cell>
          <cell r="AZ263">
            <v>516392922.5137279</v>
          </cell>
          <cell r="BA263">
            <v>590748431.34513497</v>
          </cell>
          <cell r="BB263">
            <v>592622317.29500771</v>
          </cell>
          <cell r="BC263">
            <v>670712977.37494326</v>
          </cell>
          <cell r="BD263">
            <v>770153591.0881772</v>
          </cell>
          <cell r="BE263">
            <v>747839697.74659288</v>
          </cell>
          <cell r="BF263">
            <v>758304466.24533939</v>
          </cell>
          <cell r="BG263">
            <v>772315986.47047687</v>
          </cell>
          <cell r="BH263">
            <v>730870805.20234966</v>
          </cell>
          <cell r="BI263">
            <v>780889605.89997697</v>
          </cell>
          <cell r="BJ263">
            <v>880061830.96958959</v>
          </cell>
          <cell r="BK263">
            <v>914736985.43094444</v>
          </cell>
          <cell r="BL263">
            <v>936526267.62251318</v>
          </cell>
          <cell r="BM263">
            <v>909421043.508407</v>
          </cell>
        </row>
        <row r="264">
          <cell r="B264" t="str">
            <v>WLD</v>
          </cell>
          <cell r="C264" t="str">
            <v>GDP (current US$)</v>
          </cell>
          <cell r="D264" t="str">
            <v>NY.GDP.MKTP.CD</v>
          </cell>
          <cell r="E264">
            <v>1384857385930.8196</v>
          </cell>
          <cell r="F264">
            <v>1449220624663.5437</v>
          </cell>
          <cell r="G264">
            <v>1550815493822.9934</v>
          </cell>
          <cell r="H264">
            <v>1671446748430.3987</v>
          </cell>
          <cell r="I264">
            <v>1830491675385.5525</v>
          </cell>
          <cell r="J264">
            <v>1994103484703.3098</v>
          </cell>
          <cell r="K264">
            <v>2164118096871.4194</v>
          </cell>
          <cell r="L264">
            <v>2302576793880.1367</v>
          </cell>
          <cell r="M264">
            <v>2484674455063.3594</v>
          </cell>
          <cell r="N264">
            <v>2740499243838.1523</v>
          </cell>
          <cell r="O264">
            <v>2997270495500.1021</v>
          </cell>
          <cell r="P264">
            <v>3310475491926.6392</v>
          </cell>
          <cell r="Q264">
            <v>3816822738898.9062</v>
          </cell>
          <cell r="R264">
            <v>4657445187869.5674</v>
          </cell>
          <cell r="S264">
            <v>5366817636381.2393</v>
          </cell>
          <cell r="T264">
            <v>5977972780215.2305</v>
          </cell>
          <cell r="U264">
            <v>6498746015379.6445</v>
          </cell>
          <cell r="V264">
            <v>7349730997168.2773</v>
          </cell>
          <cell r="W264">
            <v>8690496944982.1709</v>
          </cell>
          <cell r="X264">
            <v>10053770929849.992</v>
          </cell>
          <cell r="Y264">
            <v>11337132638434.096</v>
          </cell>
          <cell r="Z264">
            <v>11728414403391.602</v>
          </cell>
          <cell r="AA264">
            <v>11610171959211.82</v>
          </cell>
          <cell r="AB264">
            <v>11840481044980.541</v>
          </cell>
          <cell r="AC264">
            <v>12311633033275.52</v>
          </cell>
          <cell r="AD264">
            <v>12897178603739.488</v>
          </cell>
          <cell r="AE264">
            <v>15252515336773.904</v>
          </cell>
          <cell r="AF264">
            <v>17372959408471.908</v>
          </cell>
          <cell r="AG264">
            <v>19394022898346.996</v>
          </cell>
          <cell r="AH264">
            <v>20266663642625.539</v>
          </cell>
          <cell r="AI264">
            <v>22861712031487.855</v>
          </cell>
          <cell r="AJ264">
            <v>23834453957464.672</v>
          </cell>
          <cell r="AK264">
            <v>25484024569814.203</v>
          </cell>
          <cell r="AL264">
            <v>25905901713517</v>
          </cell>
          <cell r="AM264">
            <v>27899567789057.379</v>
          </cell>
          <cell r="AN264">
            <v>31051499245623.398</v>
          </cell>
          <cell r="AO264">
            <v>31745724938568.602</v>
          </cell>
          <cell r="AP264">
            <v>31629694547537.621</v>
          </cell>
          <cell r="AQ264">
            <v>31552853706969.641</v>
          </cell>
          <cell r="AR264">
            <v>32752012211615.949</v>
          </cell>
          <cell r="AS264">
            <v>33845583188359.867</v>
          </cell>
          <cell r="AT264">
            <v>33631012546213.133</v>
          </cell>
          <cell r="AU264">
            <v>34925116624464.398</v>
          </cell>
          <cell r="AV264">
            <v>39161645364740.609</v>
          </cell>
          <cell r="AW264">
            <v>44133615904574.93</v>
          </cell>
          <cell r="AX264">
            <v>47793587715631.109</v>
          </cell>
          <cell r="AY264">
            <v>51791096256796.5</v>
          </cell>
          <cell r="AZ264">
            <v>58361096784020.227</v>
          </cell>
          <cell r="BA264">
            <v>64135192896903.227</v>
          </cell>
          <cell r="BB264">
            <v>60817919586141.281</v>
          </cell>
          <cell r="BC264">
            <v>66619781549531.812</v>
          </cell>
          <cell r="BD264">
            <v>73881739609759.516</v>
          </cell>
          <cell r="BE264">
            <v>75525948524603.422</v>
          </cell>
          <cell r="BF264">
            <v>77635152493358.328</v>
          </cell>
          <cell r="BG264">
            <v>79756517210010.969</v>
          </cell>
          <cell r="BH264">
            <v>75215062596594.906</v>
          </cell>
          <cell r="BI264">
            <v>76486454870400.438</v>
          </cell>
          <cell r="BJ264">
            <v>81442048665487.75</v>
          </cell>
          <cell r="BK264">
            <v>86502223934428.25</v>
          </cell>
          <cell r="BL264">
            <v>87728102156402.938</v>
          </cell>
          <cell r="BM264">
            <v>85215150558552.109</v>
          </cell>
        </row>
        <row r="265">
          <cell r="B265" t="str">
            <v>WSM</v>
          </cell>
          <cell r="C265" t="str">
            <v>GDP (current US$)</v>
          </cell>
          <cell r="D265" t="str">
            <v>NY.GDP.MKTP.CD</v>
          </cell>
          <cell r="AA265">
            <v>121221651.61931582</v>
          </cell>
          <cell r="AB265">
            <v>111862823.57497902</v>
          </cell>
          <cell r="AC265">
            <v>109200934.32851849</v>
          </cell>
          <cell r="AD265">
            <v>95572172.983565673</v>
          </cell>
          <cell r="AE265">
            <v>100947848.6447804</v>
          </cell>
          <cell r="AF265">
            <v>111713922.14157791</v>
          </cell>
          <cell r="AG265">
            <v>133016065.41606541</v>
          </cell>
          <cell r="AH265">
            <v>122888609.71524288</v>
          </cell>
          <cell r="AI265">
            <v>125766269.75535831</v>
          </cell>
          <cell r="AJ265">
            <v>125597205.42231491</v>
          </cell>
          <cell r="AK265">
            <v>132303041.36253041</v>
          </cell>
          <cell r="AL265">
            <v>133122897.19626167</v>
          </cell>
          <cell r="AM265">
            <v>221098106.50887573</v>
          </cell>
          <cell r="AN265">
            <v>224865731.38190347</v>
          </cell>
          <cell r="AO265">
            <v>249907893.81519219</v>
          </cell>
          <cell r="AP265">
            <v>285475620.92950338</v>
          </cell>
          <cell r="AQ265">
            <v>269485284.955621</v>
          </cell>
          <cell r="AR265">
            <v>255408053.16629043</v>
          </cell>
          <cell r="AS265">
            <v>258856139.79848865</v>
          </cell>
          <cell r="AT265">
            <v>266299591.47942805</v>
          </cell>
          <cell r="AU265">
            <v>281790139.02703452</v>
          </cell>
          <cell r="AV265">
            <v>333426144.54076481</v>
          </cell>
          <cell r="AW265">
            <v>407747521.11642903</v>
          </cell>
          <cell r="AX265">
            <v>476801793.15942883</v>
          </cell>
          <cell r="AY265">
            <v>499923757.78073615</v>
          </cell>
          <cell r="AZ265">
            <v>573548459.83337152</v>
          </cell>
          <cell r="BA265">
            <v>641346191.66477573</v>
          </cell>
          <cell r="BB265">
            <v>628006115.42405164</v>
          </cell>
          <cell r="BC265">
            <v>680260919.87894487</v>
          </cell>
          <cell r="BD265">
            <v>744096948.49225867</v>
          </cell>
          <cell r="BE265">
            <v>773141695.14844954</v>
          </cell>
          <cell r="BF265">
            <v>797736265.91941822</v>
          </cell>
          <cell r="BG265">
            <v>796683672.7534802</v>
          </cell>
          <cell r="BH265">
            <v>824150487.2105664</v>
          </cell>
          <cell r="BI265">
            <v>843924750.67353523</v>
          </cell>
          <cell r="BJ265">
            <v>884844419.77889144</v>
          </cell>
          <cell r="BK265">
            <v>878448439.45372391</v>
          </cell>
          <cell r="BL265">
            <v>912950619.37186813</v>
          </cell>
          <cell r="BM265">
            <v>868898350.35666382</v>
          </cell>
        </row>
        <row r="266">
          <cell r="B266" t="str">
            <v>XKX</v>
          </cell>
          <cell r="C266" t="str">
            <v>GDP (current US$)</v>
          </cell>
          <cell r="D266" t="str">
            <v>NY.GDP.MKTP.CD</v>
          </cell>
          <cell r="BA266">
            <v>5181776768.7124653</v>
          </cell>
          <cell r="BB266">
            <v>5015894692.9702692</v>
          </cell>
          <cell r="BC266">
            <v>5343950626.1666765</v>
          </cell>
          <cell r="BD266">
            <v>6341614504.5914526</v>
          </cell>
          <cell r="BE266">
            <v>6163483291.0804701</v>
          </cell>
          <cell r="BF266">
            <v>6735327512.0517836</v>
          </cell>
          <cell r="BG266">
            <v>7074392884.0450735</v>
          </cell>
          <cell r="BH266">
            <v>6295845465.3589811</v>
          </cell>
          <cell r="BI266">
            <v>6682674062.9614954</v>
          </cell>
          <cell r="BJ266">
            <v>7180768692.2635422</v>
          </cell>
          <cell r="BK266">
            <v>7878762812.2015629</v>
          </cell>
          <cell r="BL266">
            <v>7899741278.9357052</v>
          </cell>
          <cell r="BM266">
            <v>7717143395.2569933</v>
          </cell>
        </row>
        <row r="267">
          <cell r="B267" t="str">
            <v>YEM</v>
          </cell>
          <cell r="C267" t="str">
            <v>GDP (current US$)</v>
          </cell>
          <cell r="D267" t="str">
            <v>NY.GDP.MKTP.CD</v>
          </cell>
          <cell r="AI267">
            <v>5647119229.0076342</v>
          </cell>
          <cell r="AJ267">
            <v>5930370370.3703709</v>
          </cell>
          <cell r="AK267">
            <v>6463649985.0164824</v>
          </cell>
          <cell r="AL267">
            <v>5368270614.8468018</v>
          </cell>
          <cell r="AM267">
            <v>4167356037.1517029</v>
          </cell>
          <cell r="AN267">
            <v>4258788725.449914</v>
          </cell>
          <cell r="AO267">
            <v>5785685310.8666821</v>
          </cell>
          <cell r="AP267">
            <v>6838557384.4035702</v>
          </cell>
          <cell r="AQ267">
            <v>6325141675.8698883</v>
          </cell>
          <cell r="AR267">
            <v>7641102523.1508245</v>
          </cell>
          <cell r="AS267">
            <v>9652436179.6460514</v>
          </cell>
          <cell r="AT267">
            <v>9861560094.7400875</v>
          </cell>
          <cell r="AU267">
            <v>10694628091.672598</v>
          </cell>
          <cell r="AV267">
            <v>11777966673.389736</v>
          </cell>
          <cell r="AW267">
            <v>13872791658.548729</v>
          </cell>
          <cell r="AX267">
            <v>16746347681.007408</v>
          </cell>
          <cell r="AY267">
            <v>19061978586.127754</v>
          </cell>
          <cell r="AZ267">
            <v>21650532264.232197</v>
          </cell>
          <cell r="BA267">
            <v>26910855852.192333</v>
          </cell>
          <cell r="BB267">
            <v>25130278253.853443</v>
          </cell>
          <cell r="BC267">
            <v>30906749533.221001</v>
          </cell>
          <cell r="BD267">
            <v>32726417878.391018</v>
          </cell>
          <cell r="BE267">
            <v>35401323349.881683</v>
          </cell>
          <cell r="BF267">
            <v>40415233436.176651</v>
          </cell>
          <cell r="BG267">
            <v>43228585321.327194</v>
          </cell>
          <cell r="BH267">
            <v>42444489460.93869</v>
          </cell>
          <cell r="BI267">
            <v>31317824906.435791</v>
          </cell>
          <cell r="BJ267">
            <v>26842231204.804668</v>
          </cell>
          <cell r="BK267">
            <v>21606161066.207378</v>
          </cell>
        </row>
        <row r="268">
          <cell r="B268" t="str">
            <v>ZAF</v>
          </cell>
          <cell r="C268" t="str">
            <v>GDP (current US$)</v>
          </cell>
          <cell r="D268" t="str">
            <v>NY.GDP.MKTP.CD</v>
          </cell>
          <cell r="E268">
            <v>8748596504.060833</v>
          </cell>
          <cell r="F268">
            <v>9225996313.2918701</v>
          </cell>
          <cell r="G268">
            <v>9813996078.3271637</v>
          </cell>
          <cell r="H268">
            <v>10854195662.66341</v>
          </cell>
          <cell r="I268">
            <v>11955995222.384304</v>
          </cell>
          <cell r="J268">
            <v>13068994777.629683</v>
          </cell>
          <cell r="K268">
            <v>14211394321.126823</v>
          </cell>
          <cell r="L268">
            <v>15821393677.77108</v>
          </cell>
          <cell r="M268">
            <v>17124793156.932648</v>
          </cell>
          <cell r="N268">
            <v>19256992304.905869</v>
          </cell>
          <cell r="O268">
            <v>21218391521.130741</v>
          </cell>
          <cell r="P268">
            <v>23411079377.315788</v>
          </cell>
          <cell r="Q268">
            <v>24515911652.311501</v>
          </cell>
          <cell r="R268">
            <v>33262767309.80825</v>
          </cell>
          <cell r="S268">
            <v>41389185877.123459</v>
          </cell>
          <cell r="T268">
            <v>42906919870.346916</v>
          </cell>
          <cell r="U268">
            <v>41150449964.217003</v>
          </cell>
          <cell r="V268">
            <v>45328399960.584</v>
          </cell>
          <cell r="W268">
            <v>51607399955.124001</v>
          </cell>
          <cell r="X268">
            <v>63038687890.353218</v>
          </cell>
          <cell r="Y268">
            <v>89411894563.7285</v>
          </cell>
          <cell r="Z268">
            <v>93141478239.098877</v>
          </cell>
          <cell r="AA268">
            <v>85904070614.930527</v>
          </cell>
          <cell r="AB268">
            <v>96204110963.155029</v>
          </cell>
          <cell r="AC268">
            <v>84870134616.177322</v>
          </cell>
          <cell r="AD268">
            <v>64459376103.559776</v>
          </cell>
          <cell r="AE268">
            <v>73354782108.054718</v>
          </cell>
          <cell r="AF268">
            <v>96535747613.824417</v>
          </cell>
          <cell r="AG268">
            <v>103976854738.4117</v>
          </cell>
          <cell r="AH268">
            <v>108055603481.55653</v>
          </cell>
          <cell r="AI268">
            <v>126048148261.47398</v>
          </cell>
          <cell r="AJ268">
            <v>135203698237.97719</v>
          </cell>
          <cell r="AK268">
            <v>146956142398.77823</v>
          </cell>
          <cell r="AL268">
            <v>147194766334.41473</v>
          </cell>
          <cell r="AM268">
            <v>153512697970.73819</v>
          </cell>
          <cell r="AN268">
            <v>171735933897.33078</v>
          </cell>
          <cell r="AO268">
            <v>163234919052.67044</v>
          </cell>
          <cell r="AP268">
            <v>168978069551.35971</v>
          </cell>
          <cell r="AQ268">
            <v>152982979945.10342</v>
          </cell>
          <cell r="AR268">
            <v>151516952945.15445</v>
          </cell>
          <cell r="AS268">
            <v>151752749926.33109</v>
          </cell>
          <cell r="AT268">
            <v>135429908544.33795</v>
          </cell>
          <cell r="AU268">
            <v>129087560694.62465</v>
          </cell>
          <cell r="AV268">
            <v>197018960967.97208</v>
          </cell>
          <cell r="AW268">
            <v>255806928394.81137</v>
          </cell>
          <cell r="AX268">
            <v>288867202055.1438</v>
          </cell>
          <cell r="AY268">
            <v>303858667884.83514</v>
          </cell>
          <cell r="AZ268">
            <v>333077117253.68378</v>
          </cell>
          <cell r="BA268">
            <v>316131245860.68176</v>
          </cell>
          <cell r="BB268">
            <v>329754054488.85455</v>
          </cell>
          <cell r="BC268">
            <v>417363825016.28589</v>
          </cell>
          <cell r="BD268">
            <v>458199486480.57581</v>
          </cell>
          <cell r="BE268">
            <v>434400545085.8111</v>
          </cell>
          <cell r="BF268">
            <v>400886013595.57318</v>
          </cell>
          <cell r="BG268">
            <v>381198869776.10565</v>
          </cell>
          <cell r="BH268">
            <v>346709790458.56305</v>
          </cell>
          <cell r="BI268">
            <v>323585509674.48059</v>
          </cell>
          <cell r="BJ268">
            <v>381448814653.45642</v>
          </cell>
          <cell r="BK268">
            <v>404158882459.02386</v>
          </cell>
          <cell r="BL268">
            <v>388531226582.35052</v>
          </cell>
          <cell r="BM268">
            <v>337619569570.51062</v>
          </cell>
        </row>
        <row r="269">
          <cell r="B269" t="str">
            <v>ZMB</v>
          </cell>
          <cell r="C269" t="str">
            <v>GDP (current US$)</v>
          </cell>
          <cell r="D269" t="str">
            <v>NY.GDP.MKTP.CD</v>
          </cell>
          <cell r="E269">
            <v>713000000</v>
          </cell>
          <cell r="F269">
            <v>696285714.28571427</v>
          </cell>
          <cell r="G269">
            <v>693142857.14285719</v>
          </cell>
          <cell r="H269">
            <v>718714285.71428573</v>
          </cell>
          <cell r="I269">
            <v>839428571.42857146</v>
          </cell>
          <cell r="J269">
            <v>1082857142.8571429</v>
          </cell>
          <cell r="K269">
            <v>1264285714.2857144</v>
          </cell>
          <cell r="L269">
            <v>1368000000</v>
          </cell>
          <cell r="M269">
            <v>1605857142.8571429</v>
          </cell>
          <cell r="N269">
            <v>1965714285.7142859</v>
          </cell>
          <cell r="O269">
            <v>1825285714.2857144</v>
          </cell>
          <cell r="P269">
            <v>1687000000</v>
          </cell>
          <cell r="Q269">
            <v>1872416680.0791199</v>
          </cell>
          <cell r="R269">
            <v>2434255236.9993525</v>
          </cell>
          <cell r="S269">
            <v>2910981262.1001792</v>
          </cell>
          <cell r="T269">
            <v>2442672140.9469957</v>
          </cell>
          <cell r="U269">
            <v>2742859262.9794016</v>
          </cell>
          <cell r="V269">
            <v>2515296939.6068578</v>
          </cell>
          <cell r="W269">
            <v>2811032472.9392161</v>
          </cell>
          <cell r="X269">
            <v>3353445378.1512623</v>
          </cell>
          <cell r="Y269">
            <v>3884530853.7616215</v>
          </cell>
          <cell r="Z269">
            <v>4008126497.3646398</v>
          </cell>
          <cell r="AA269">
            <v>3871117092.8667564</v>
          </cell>
          <cell r="AB269">
            <v>3321048451.1517076</v>
          </cell>
          <cell r="AC269">
            <v>2719518932.9954066</v>
          </cell>
          <cell r="AD269">
            <v>2252454500.1489625</v>
          </cell>
          <cell r="AE269">
            <v>1664413508.0985258</v>
          </cell>
          <cell r="AF269">
            <v>2265250972.3487902</v>
          </cell>
          <cell r="AG269">
            <v>3728878148.8079219</v>
          </cell>
          <cell r="AH269">
            <v>3994673161.0264907</v>
          </cell>
          <cell r="AI269">
            <v>3285217391.3043475</v>
          </cell>
          <cell r="AJ269">
            <v>3376806697.1218047</v>
          </cell>
          <cell r="AK269">
            <v>3181921787.7094975</v>
          </cell>
          <cell r="AL269">
            <v>3273507753.8784094</v>
          </cell>
          <cell r="AM269">
            <v>3656808232.6429539</v>
          </cell>
          <cell r="AN269">
            <v>3806982678.893631</v>
          </cell>
          <cell r="AO269">
            <v>3597220962.0001655</v>
          </cell>
          <cell r="AP269">
            <v>4303290116.5654554</v>
          </cell>
          <cell r="AQ269">
            <v>3537741625.2439537</v>
          </cell>
          <cell r="AR269">
            <v>3404284652.9358487</v>
          </cell>
          <cell r="AS269">
            <v>3600631918.5065751</v>
          </cell>
          <cell r="AT269">
            <v>4094441301.2142286</v>
          </cell>
          <cell r="AU269">
            <v>4193850445.4263234</v>
          </cell>
          <cell r="AV269">
            <v>4901869715.9045687</v>
          </cell>
          <cell r="AW269">
            <v>6221109716.39571</v>
          </cell>
          <cell r="AX269">
            <v>8331870169.1497707</v>
          </cell>
          <cell r="AY269">
            <v>12756858899.281174</v>
          </cell>
          <cell r="AZ269">
            <v>14056957976.264833</v>
          </cell>
          <cell r="BA269">
            <v>17910858637.904797</v>
          </cell>
          <cell r="BB269">
            <v>15328342303.957512</v>
          </cell>
          <cell r="BC269">
            <v>20265559483.854828</v>
          </cell>
          <cell r="BD269">
            <v>23459515275.577595</v>
          </cell>
          <cell r="BE269">
            <v>25503060420.026028</v>
          </cell>
          <cell r="BF269">
            <v>28037239462.714218</v>
          </cell>
          <cell r="BG269">
            <v>27141023558.082859</v>
          </cell>
          <cell r="BH269">
            <v>21251216798.776245</v>
          </cell>
          <cell r="BI269">
            <v>20958412538.309345</v>
          </cell>
          <cell r="BJ269">
            <v>25873601260.835304</v>
          </cell>
          <cell r="BK269">
            <v>26311506435.059845</v>
          </cell>
          <cell r="BL269">
            <v>23308667781.225754</v>
          </cell>
          <cell r="BM269">
            <v>18110638619.372303</v>
          </cell>
        </row>
        <row r="270">
          <cell r="B270" t="str">
            <v>ZWE</v>
          </cell>
          <cell r="C270" t="str">
            <v>GDP (current US$)</v>
          </cell>
          <cell r="D270" t="str">
            <v>NY.GDP.MKTP.CD</v>
          </cell>
          <cell r="E270">
            <v>1052990399.9999999</v>
          </cell>
          <cell r="F270">
            <v>1096646600</v>
          </cell>
          <cell r="G270">
            <v>1117601600</v>
          </cell>
          <cell r="H270">
            <v>1159511700</v>
          </cell>
          <cell r="I270">
            <v>1217138000</v>
          </cell>
          <cell r="J270">
            <v>1311435800</v>
          </cell>
          <cell r="K270">
            <v>1281749500</v>
          </cell>
          <cell r="L270">
            <v>1397002000</v>
          </cell>
          <cell r="M270">
            <v>1479599900</v>
          </cell>
          <cell r="N270">
            <v>1747998800</v>
          </cell>
          <cell r="O270">
            <v>1884206300</v>
          </cell>
          <cell r="P270">
            <v>2178716300</v>
          </cell>
          <cell r="Q270">
            <v>2677729400</v>
          </cell>
          <cell r="R270">
            <v>3309353600</v>
          </cell>
          <cell r="S270">
            <v>3982161400</v>
          </cell>
          <cell r="T270">
            <v>4371300700</v>
          </cell>
          <cell r="U270">
            <v>4318372000</v>
          </cell>
          <cell r="V270">
            <v>4364382100</v>
          </cell>
          <cell r="W270">
            <v>4351600500</v>
          </cell>
          <cell r="X270">
            <v>5177459400</v>
          </cell>
          <cell r="Y270">
            <v>6678868200</v>
          </cell>
          <cell r="Z270">
            <v>8011373800</v>
          </cell>
          <cell r="AA270">
            <v>8539700699.999999</v>
          </cell>
          <cell r="AB270">
            <v>7764067000</v>
          </cell>
          <cell r="AC270">
            <v>6352125900</v>
          </cell>
          <cell r="AD270">
            <v>5637259300</v>
          </cell>
          <cell r="AE270">
            <v>6217523700</v>
          </cell>
          <cell r="AF270">
            <v>6741215100</v>
          </cell>
          <cell r="AG270">
            <v>7814784100</v>
          </cell>
          <cell r="AH270">
            <v>8286322700.000001</v>
          </cell>
          <cell r="AI270">
            <v>8783816700</v>
          </cell>
          <cell r="AJ270">
            <v>8641481700</v>
          </cell>
          <cell r="AK270">
            <v>6751472200</v>
          </cell>
          <cell r="AL270">
            <v>6563813300</v>
          </cell>
          <cell r="AM270">
            <v>6890675000</v>
          </cell>
          <cell r="AN270">
            <v>7111270700</v>
          </cell>
          <cell r="AO270">
            <v>8553146600</v>
          </cell>
          <cell r="AP270">
            <v>8529571599.999999</v>
          </cell>
          <cell r="AQ270">
            <v>6401968200</v>
          </cell>
          <cell r="AR270">
            <v>6858013100</v>
          </cell>
          <cell r="AS270">
            <v>6689957600</v>
          </cell>
          <cell r="AT270">
            <v>6777384700</v>
          </cell>
          <cell r="AU270">
            <v>6342116400</v>
          </cell>
          <cell r="AV270">
            <v>5727591800</v>
          </cell>
          <cell r="AW270">
            <v>5805598400</v>
          </cell>
          <cell r="AX270">
            <v>5755215200</v>
          </cell>
          <cell r="AY270">
            <v>5443896500</v>
          </cell>
          <cell r="AZ270">
            <v>5291950100</v>
          </cell>
          <cell r="BA270">
            <v>4415702800</v>
          </cell>
          <cell r="BB270">
            <v>9665793300</v>
          </cell>
          <cell r="BC270">
            <v>12041655200</v>
          </cell>
          <cell r="BD270">
            <v>14101920300</v>
          </cell>
          <cell r="BE270">
            <v>17114849900.000002</v>
          </cell>
          <cell r="BF270">
            <v>19091020000</v>
          </cell>
          <cell r="BG270">
            <v>19495519600</v>
          </cell>
          <cell r="BH270">
            <v>19963120600</v>
          </cell>
          <cell r="BI270">
            <v>20548678100</v>
          </cell>
          <cell r="BJ270">
            <v>17584890936.652306</v>
          </cell>
          <cell r="BK270">
            <v>34156069918.06094</v>
          </cell>
          <cell r="BL270">
            <v>21832234925.50214</v>
          </cell>
          <cell r="BM270">
            <v>21509698406.111595</v>
          </cell>
        </row>
      </sheetData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7">
          <cell r="B7" t="str">
            <v>AFG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</row>
        <row r="8">
          <cell r="B8" t="str">
            <v>AUS</v>
          </cell>
          <cell r="C8" t="str">
            <v>-</v>
          </cell>
          <cell r="D8" t="str">
            <v>-</v>
          </cell>
          <cell r="E8" t="str">
            <v>-</v>
          </cell>
          <cell r="F8" t="str">
            <v>-</v>
          </cell>
          <cell r="G8" t="str">
            <v>-</v>
          </cell>
          <cell r="H8" t="str">
            <v>-</v>
          </cell>
          <cell r="I8" t="str">
            <v>-</v>
          </cell>
          <cell r="J8" t="str">
            <v>-</v>
          </cell>
          <cell r="K8" t="str">
            <v>-</v>
          </cell>
        </row>
        <row r="9">
          <cell r="B9" t="str">
            <v>BGD</v>
          </cell>
          <cell r="C9" t="str">
            <v>-</v>
          </cell>
          <cell r="D9" t="str">
            <v>-</v>
          </cell>
          <cell r="E9">
            <v>0.45280469042371824</v>
          </cell>
          <cell r="F9" t="str">
            <v>-</v>
          </cell>
          <cell r="G9" t="str">
            <v>-</v>
          </cell>
          <cell r="H9">
            <v>0.28483199340342197</v>
          </cell>
          <cell r="I9" t="str">
            <v>-</v>
          </cell>
          <cell r="J9" t="str">
            <v>-</v>
          </cell>
          <cell r="K9">
            <v>5.9634212194492053E-3</v>
          </cell>
        </row>
        <row r="10">
          <cell r="B10" t="str">
            <v>KHM</v>
          </cell>
          <cell r="C10" t="str">
            <v>-</v>
          </cell>
          <cell r="D10" t="str">
            <v>-</v>
          </cell>
          <cell r="E10" t="str">
            <v>-</v>
          </cell>
          <cell r="F10" t="str">
            <v>-</v>
          </cell>
          <cell r="G10" t="str">
            <v>-</v>
          </cell>
          <cell r="H10" t="str">
            <v>-</v>
          </cell>
          <cell r="I10" t="str">
            <v>-</v>
          </cell>
          <cell r="J10" t="str">
            <v>-</v>
          </cell>
          <cell r="K10" t="str">
            <v>-</v>
          </cell>
        </row>
        <row r="11">
          <cell r="B11" t="str">
            <v>CHN</v>
          </cell>
          <cell r="C11" t="str">
            <v>-</v>
          </cell>
          <cell r="D11" t="str">
            <v>-</v>
          </cell>
          <cell r="E11" t="str">
            <v>-</v>
          </cell>
          <cell r="F11" t="str">
            <v>-</v>
          </cell>
          <cell r="G11" t="str">
            <v>-</v>
          </cell>
          <cell r="H11">
            <v>0.63636363636363635</v>
          </cell>
          <cell r="I11" t="str">
            <v>-</v>
          </cell>
          <cell r="J11" t="str">
            <v>-</v>
          </cell>
          <cell r="K11">
            <v>0.29032258064516131</v>
          </cell>
        </row>
        <row r="12">
          <cell r="B12" t="str">
            <v>IND</v>
          </cell>
          <cell r="C12" t="str">
            <v>-</v>
          </cell>
          <cell r="D12" t="str">
            <v>-</v>
          </cell>
          <cell r="E12" t="str">
            <v>-</v>
          </cell>
          <cell r="F12" t="str">
            <v>-</v>
          </cell>
          <cell r="G12" t="str">
            <v>-</v>
          </cell>
          <cell r="H12">
            <v>0.60002537105163012</v>
          </cell>
          <cell r="I12" t="str">
            <v>-</v>
          </cell>
          <cell r="J12" t="str">
            <v>-</v>
          </cell>
          <cell r="K12">
            <v>0.3102262443438914</v>
          </cell>
        </row>
        <row r="13">
          <cell r="B13" t="str">
            <v>IDN</v>
          </cell>
          <cell r="C13">
            <v>4.9586776859504134E-2</v>
          </cell>
          <cell r="D13">
            <v>5.0675675675675678E-2</v>
          </cell>
          <cell r="E13">
            <v>5.007587253414264E-2</v>
          </cell>
          <cell r="F13">
            <v>0.11785714285714285</v>
          </cell>
          <cell r="G13">
            <v>9.0405904059040587E-2</v>
          </cell>
          <cell r="H13">
            <v>0.10435571687840291</v>
          </cell>
          <cell r="I13">
            <v>3.015075376884422E-2</v>
          </cell>
          <cell r="J13">
            <v>1.3071895424836602E-2</v>
          </cell>
          <cell r="K13">
            <v>2.2727272727272728E-2</v>
          </cell>
        </row>
        <row r="14">
          <cell r="B14" t="str">
            <v>IRN</v>
          </cell>
          <cell r="C14" t="str">
            <v>-</v>
          </cell>
          <cell r="D14" t="str">
            <v>-</v>
          </cell>
          <cell r="E14" t="str">
            <v>-</v>
          </cell>
          <cell r="F14" t="str">
            <v>-</v>
          </cell>
          <cell r="G14" t="str">
            <v>-</v>
          </cell>
          <cell r="H14">
            <v>0.88</v>
          </cell>
          <cell r="I14" t="str">
            <v>-</v>
          </cell>
          <cell r="J14" t="str">
            <v>-</v>
          </cell>
          <cell r="K14">
            <v>0.73</v>
          </cell>
        </row>
        <row r="15">
          <cell r="B15" t="str">
            <v>JPN</v>
          </cell>
          <cell r="C15" t="str">
            <v>-</v>
          </cell>
          <cell r="D15" t="str">
            <v>-</v>
          </cell>
          <cell r="E15" t="str">
            <v>-</v>
          </cell>
          <cell r="F15" t="str">
            <v>-</v>
          </cell>
          <cell r="G15" t="str">
            <v>-</v>
          </cell>
          <cell r="H15">
            <v>0.94</v>
          </cell>
          <cell r="I15" t="str">
            <v>-</v>
          </cell>
          <cell r="J15" t="str">
            <v>-</v>
          </cell>
          <cell r="K15">
            <v>0.94</v>
          </cell>
        </row>
        <row r="16">
          <cell r="B16" t="str">
            <v>KAZ</v>
          </cell>
          <cell r="C16" t="str">
            <v>-</v>
          </cell>
          <cell r="D16" t="str">
            <v>-</v>
          </cell>
          <cell r="E16" t="str">
            <v>-</v>
          </cell>
          <cell r="F16" t="str">
            <v>-</v>
          </cell>
          <cell r="G16" t="str">
            <v>-</v>
          </cell>
          <cell r="H16" t="str">
            <v>-</v>
          </cell>
          <cell r="I16" t="str">
            <v>-</v>
          </cell>
          <cell r="J16" t="str">
            <v>-</v>
          </cell>
          <cell r="K16">
            <v>1</v>
          </cell>
        </row>
        <row r="17">
          <cell r="B17" t="str">
            <v>KOR</v>
          </cell>
          <cell r="C17" t="str">
            <v>-</v>
          </cell>
          <cell r="D17" t="str">
            <v>-</v>
          </cell>
          <cell r="E17" t="str">
            <v>-</v>
          </cell>
          <cell r="F17" t="str">
            <v>-</v>
          </cell>
          <cell r="G17" t="str">
            <v>-</v>
          </cell>
          <cell r="H17">
            <v>0.69546979865771807</v>
          </cell>
          <cell r="I17" t="str">
            <v>-</v>
          </cell>
          <cell r="J17" t="str">
            <v>-</v>
          </cell>
          <cell r="K17">
            <v>0.59382064807837232</v>
          </cell>
        </row>
        <row r="18">
          <cell r="B18" t="str">
            <v>KGZ</v>
          </cell>
          <cell r="C18" t="str">
            <v>-</v>
          </cell>
          <cell r="D18" t="str">
            <v>-</v>
          </cell>
          <cell r="E18" t="str">
            <v>-</v>
          </cell>
          <cell r="I18" t="str">
            <v>-</v>
          </cell>
          <cell r="J18" t="str">
            <v>-</v>
          </cell>
          <cell r="K18">
            <v>1</v>
          </cell>
        </row>
        <row r="19">
          <cell r="B19" t="str">
            <v>LAO</v>
          </cell>
          <cell r="C19" t="str">
            <v>-</v>
          </cell>
          <cell r="D19" t="str">
            <v>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  <cell r="J19" t="str">
            <v>-</v>
          </cell>
          <cell r="K19" t="str">
            <v>-</v>
          </cell>
        </row>
        <row r="20">
          <cell r="B20" t="str">
            <v>MYS</v>
          </cell>
          <cell r="C20">
            <v>0.21880137498131819</v>
          </cell>
          <cell r="D20">
            <v>0.21448109412711183</v>
          </cell>
          <cell r="E20">
            <v>0.21672090500542385</v>
          </cell>
          <cell r="F20">
            <v>0.4360609280906837</v>
          </cell>
          <cell r="G20">
            <v>0.42076099002585887</v>
          </cell>
          <cell r="H20">
            <v>0.42857142857142855</v>
          </cell>
          <cell r="I20">
            <v>0.29003021148036257</v>
          </cell>
          <cell r="J20">
            <v>0.32199312714776634</v>
          </cell>
          <cell r="K20">
            <v>0.30498392282958198</v>
          </cell>
        </row>
        <row r="21">
          <cell r="B21" t="str">
            <v>MMR</v>
          </cell>
          <cell r="C21" t="str">
            <v>-</v>
          </cell>
          <cell r="D21" t="str">
            <v>-</v>
          </cell>
          <cell r="E21" t="str">
            <v>-</v>
          </cell>
          <cell r="F21" t="str">
            <v>-</v>
          </cell>
          <cell r="G21" t="str">
            <v>-</v>
          </cell>
          <cell r="H21" t="str">
            <v>-</v>
          </cell>
          <cell r="I21" t="str">
            <v>-</v>
          </cell>
          <cell r="J21" t="str">
            <v>-</v>
          </cell>
          <cell r="K21" t="str">
            <v>-</v>
          </cell>
        </row>
        <row r="22">
          <cell r="B22" t="str">
            <v>NPL</v>
          </cell>
          <cell r="C22" t="str">
            <v>-</v>
          </cell>
          <cell r="D22" t="str">
            <v>-</v>
          </cell>
          <cell r="E22" t="str">
            <v>-</v>
          </cell>
          <cell r="F22" t="str">
            <v>-</v>
          </cell>
          <cell r="G22" t="str">
            <v>-</v>
          </cell>
          <cell r="H22">
            <v>0.95410827150316024</v>
          </cell>
          <cell r="I22" t="str">
            <v>-</v>
          </cell>
          <cell r="J22" t="str">
            <v>-</v>
          </cell>
          <cell r="K22">
            <v>0.89447592067988668</v>
          </cell>
        </row>
        <row r="23">
          <cell r="B23" t="str">
            <v>NZL</v>
          </cell>
          <cell r="C23" t="str">
            <v>-</v>
          </cell>
          <cell r="D23" t="str">
            <v>-</v>
          </cell>
          <cell r="E23" t="str">
            <v>-</v>
          </cell>
          <cell r="F23" t="str">
            <v>-</v>
          </cell>
          <cell r="G23" t="str">
            <v>-</v>
          </cell>
          <cell r="H23" t="str">
            <v>-</v>
          </cell>
          <cell r="I23" t="str">
            <v>-</v>
          </cell>
          <cell r="J23" t="str">
            <v>-</v>
          </cell>
          <cell r="K23" t="str">
            <v>-</v>
          </cell>
        </row>
        <row r="24">
          <cell r="B24" t="str">
            <v>PAK</v>
          </cell>
          <cell r="C24">
            <v>0.11568774259649676</v>
          </cell>
          <cell r="D24">
            <v>0.10844930935626791</v>
          </cell>
          <cell r="E24">
            <v>0.11217083436744989</v>
          </cell>
          <cell r="F24">
            <v>0.13191871015288775</v>
          </cell>
          <cell r="G24">
            <v>7.0362064386674139E-2</v>
          </cell>
          <cell r="H24">
            <v>0.10205199239764198</v>
          </cell>
          <cell r="I24">
            <v>2.34936399886372E-2</v>
          </cell>
          <cell r="J24">
            <v>4.1883175058233295E-2</v>
          </cell>
          <cell r="K24">
            <v>3.2401555795446534E-2</v>
          </cell>
        </row>
        <row r="25">
          <cell r="B25" t="str">
            <v>PNG</v>
          </cell>
          <cell r="C25" t="str">
            <v>-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</row>
        <row r="26">
          <cell r="B26" t="str">
            <v>PHL</v>
          </cell>
          <cell r="C26">
            <v>0.66666666666666663</v>
          </cell>
          <cell r="D26">
            <v>0.5</v>
          </cell>
          <cell r="E26">
            <v>0.5714285714285714</v>
          </cell>
          <cell r="F26">
            <v>0.64</v>
          </cell>
          <cell r="G26">
            <v>0.72222222222222221</v>
          </cell>
          <cell r="H26">
            <v>0.67441860465116277</v>
          </cell>
          <cell r="I26">
            <v>0.27777777777777779</v>
          </cell>
          <cell r="J26">
            <v>5.8823529411764705E-2</v>
          </cell>
          <cell r="K26">
            <v>0.15</v>
          </cell>
        </row>
        <row r="27">
          <cell r="B27" t="str">
            <v>LKA</v>
          </cell>
          <cell r="C27" t="str">
            <v>-</v>
          </cell>
          <cell r="D27" t="str">
            <v>-</v>
          </cell>
          <cell r="E27" t="str">
            <v>-</v>
          </cell>
          <cell r="F27" t="str">
            <v>-</v>
          </cell>
          <cell r="G27" t="str">
            <v>-</v>
          </cell>
          <cell r="H27">
            <v>1</v>
          </cell>
          <cell r="I27" t="str">
            <v>-</v>
          </cell>
          <cell r="J27" t="str">
            <v>-</v>
          </cell>
          <cell r="K27" t="str">
            <v>-</v>
          </cell>
        </row>
        <row r="28">
          <cell r="B28" t="str">
            <v>TJK</v>
          </cell>
          <cell r="C28" t="str">
            <v>-</v>
          </cell>
          <cell r="D28" t="str">
            <v>-</v>
          </cell>
          <cell r="E28" t="str">
            <v>-</v>
          </cell>
          <cell r="F28" t="str">
            <v>-</v>
          </cell>
          <cell r="G28" t="str">
            <v>-</v>
          </cell>
          <cell r="H28" t="str">
            <v>-</v>
          </cell>
          <cell r="I28" t="str">
            <v>-</v>
          </cell>
          <cell r="J28" t="str">
            <v>-</v>
          </cell>
          <cell r="K28" t="str">
            <v>-</v>
          </cell>
        </row>
        <row r="29">
          <cell r="B29" t="str">
            <v>THA</v>
          </cell>
          <cell r="C29" t="str">
            <v>-</v>
          </cell>
          <cell r="D29" t="str">
            <v>-</v>
          </cell>
          <cell r="E29" t="str">
            <v>-</v>
          </cell>
          <cell r="F29">
            <v>0.63257908611599301</v>
          </cell>
          <cell r="G29">
            <v>0.64910641280224268</v>
          </cell>
          <cell r="H29">
            <v>0.64058873478630063</v>
          </cell>
          <cell r="I29">
            <v>0.77665402444163512</v>
          </cell>
          <cell r="J29">
            <v>0.97018739352640548</v>
          </cell>
          <cell r="K29">
            <v>0.8729082821436136</v>
          </cell>
        </row>
        <row r="30">
          <cell r="B30" t="str">
            <v>TKM</v>
          </cell>
          <cell r="C30" t="str">
            <v>-</v>
          </cell>
          <cell r="D30" t="str">
            <v>-</v>
          </cell>
          <cell r="E30" t="str">
            <v>-</v>
          </cell>
          <cell r="F30" t="str">
            <v>-</v>
          </cell>
          <cell r="G30" t="str">
            <v>-</v>
          </cell>
          <cell r="H30" t="str">
            <v>-</v>
          </cell>
          <cell r="I30" t="str">
            <v>-</v>
          </cell>
          <cell r="J30" t="str">
            <v>-</v>
          </cell>
        </row>
        <row r="31">
          <cell r="B31" t="str">
            <v>UZB</v>
          </cell>
          <cell r="C31" t="str">
            <v>-</v>
          </cell>
          <cell r="D31" t="str">
            <v>-</v>
          </cell>
          <cell r="E31" t="str">
            <v>-</v>
          </cell>
          <cell r="F31" t="str">
            <v>-</v>
          </cell>
          <cell r="G31" t="str">
            <v>-</v>
          </cell>
          <cell r="H31" t="str">
            <v>-</v>
          </cell>
          <cell r="I31" t="str">
            <v>-</v>
          </cell>
          <cell r="J31" t="str">
            <v>-</v>
          </cell>
          <cell r="K31" t="str">
            <v>-</v>
          </cell>
        </row>
        <row r="32">
          <cell r="B32" t="str">
            <v>VNM</v>
          </cell>
          <cell r="C32" t="str">
            <v>-</v>
          </cell>
          <cell r="D32" t="str">
            <v>-</v>
          </cell>
          <cell r="E32" t="str">
            <v>-</v>
          </cell>
          <cell r="F32" t="str">
            <v>-</v>
          </cell>
          <cell r="G32" t="str">
            <v>-</v>
          </cell>
          <cell r="H32" t="str">
            <v>-</v>
          </cell>
          <cell r="I32" t="str">
            <v>-</v>
          </cell>
          <cell r="J32" t="str">
            <v>-</v>
          </cell>
          <cell r="K32" t="str">
            <v>-</v>
          </cell>
        </row>
        <row r="33">
          <cell r="B33" t="str">
            <v>AFG</v>
          </cell>
          <cell r="C33" t="str">
            <v>-</v>
          </cell>
          <cell r="D33" t="str">
            <v>-</v>
          </cell>
          <cell r="E33" t="str">
            <v>-</v>
          </cell>
          <cell r="F33" t="str">
            <v>-</v>
          </cell>
          <cell r="G33" t="str">
            <v>-</v>
          </cell>
          <cell r="H33" t="str">
            <v>-</v>
          </cell>
          <cell r="I33" t="str">
            <v>-</v>
          </cell>
          <cell r="J33" t="str">
            <v>-</v>
          </cell>
          <cell r="K33" t="str">
            <v>-</v>
          </cell>
        </row>
        <row r="34">
          <cell r="B34" t="str">
            <v>AUS</v>
          </cell>
          <cell r="C34" t="str">
            <v>-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  <cell r="J34" t="str">
            <v>-</v>
          </cell>
          <cell r="K34" t="str">
            <v>-</v>
          </cell>
        </row>
        <row r="35">
          <cell r="B35" t="str">
            <v>BGD</v>
          </cell>
          <cell r="C35" t="str">
            <v>-</v>
          </cell>
          <cell r="D35" t="str">
            <v>-</v>
          </cell>
          <cell r="E35" t="str">
            <v>-</v>
          </cell>
          <cell r="F35" t="str">
            <v>-</v>
          </cell>
          <cell r="G35" t="str">
            <v>-</v>
          </cell>
          <cell r="H35" t="str">
            <v>-</v>
          </cell>
          <cell r="I35" t="str">
            <v>-</v>
          </cell>
          <cell r="J35" t="str">
            <v>-</v>
          </cell>
          <cell r="K35" t="str">
            <v>-</v>
          </cell>
        </row>
        <row r="36">
          <cell r="B36" t="str">
            <v>KHM</v>
          </cell>
          <cell r="C36" t="str">
            <v>-</v>
          </cell>
          <cell r="D36" t="str">
            <v>-</v>
          </cell>
          <cell r="E36" t="str">
            <v>-</v>
          </cell>
          <cell r="F36" t="str">
            <v>-</v>
          </cell>
          <cell r="G36" t="str">
            <v>-</v>
          </cell>
          <cell r="H36" t="str">
            <v>-</v>
          </cell>
          <cell r="I36" t="str">
            <v>-</v>
          </cell>
          <cell r="J36" t="str">
            <v>-</v>
          </cell>
          <cell r="K36" t="str">
            <v>-</v>
          </cell>
        </row>
        <row r="37">
          <cell r="B37" t="str">
            <v>CHN</v>
          </cell>
          <cell r="C37" t="str">
            <v>-</v>
          </cell>
          <cell r="D37" t="str">
            <v>-</v>
          </cell>
          <cell r="E37" t="str">
            <v>-</v>
          </cell>
          <cell r="F37" t="str">
            <v>-</v>
          </cell>
          <cell r="G37" t="str">
            <v>-</v>
          </cell>
          <cell r="H37" t="str">
            <v>-</v>
          </cell>
          <cell r="I37" t="str">
            <v>-</v>
          </cell>
          <cell r="J37" t="str">
            <v>-</v>
          </cell>
          <cell r="K37" t="str">
            <v>-</v>
          </cell>
        </row>
        <row r="38">
          <cell r="B38" t="str">
            <v>IND</v>
          </cell>
          <cell r="C38" t="str">
            <v>-</v>
          </cell>
          <cell r="D38" t="str">
            <v>-</v>
          </cell>
          <cell r="E38" t="str">
            <v>-</v>
          </cell>
          <cell r="F38" t="str">
            <v>-</v>
          </cell>
          <cell r="G38" t="str">
            <v>-</v>
          </cell>
          <cell r="H38" t="str">
            <v>-</v>
          </cell>
          <cell r="I38" t="str">
            <v>-</v>
          </cell>
          <cell r="J38" t="str">
            <v>-</v>
          </cell>
          <cell r="K38" t="str">
            <v>-</v>
          </cell>
        </row>
        <row r="39">
          <cell r="B39" t="str">
            <v>IDN</v>
          </cell>
          <cell r="C39">
            <v>3.3591731266149873E-2</v>
          </cell>
          <cell r="D39">
            <v>6.0606060606060608E-2</v>
          </cell>
          <cell r="E39">
            <v>4.5321637426900582E-2</v>
          </cell>
          <cell r="F39">
            <v>0.12645590682196339</v>
          </cell>
          <cell r="G39">
            <v>9.515260323159784E-2</v>
          </cell>
          <cell r="H39">
            <v>0.11139896373056994</v>
          </cell>
          <cell r="I39">
            <v>2.5906735751295335E-2</v>
          </cell>
          <cell r="J39">
            <v>1.3157894736842105E-2</v>
          </cell>
          <cell r="K39">
            <v>2.0289855072463767E-2</v>
          </cell>
        </row>
        <row r="40">
          <cell r="B40" t="str">
            <v>IRN</v>
          </cell>
          <cell r="C40" t="str">
            <v>-</v>
          </cell>
          <cell r="D40" t="str">
            <v>-</v>
          </cell>
          <cell r="E40" t="str">
            <v>-</v>
          </cell>
          <cell r="F40" t="str">
            <v>-</v>
          </cell>
          <cell r="G40" t="str">
            <v>-</v>
          </cell>
          <cell r="H40" t="str">
            <v>-</v>
          </cell>
          <cell r="I40" t="str">
            <v>-</v>
          </cell>
          <cell r="J40" t="str">
            <v>-</v>
          </cell>
          <cell r="K40" t="str">
            <v>-</v>
          </cell>
        </row>
        <row r="41">
          <cell r="B41" t="str">
            <v>JPN</v>
          </cell>
          <cell r="C41" t="str">
            <v>-</v>
          </cell>
          <cell r="D41" t="str">
            <v>-</v>
          </cell>
          <cell r="E41" t="str">
            <v>-</v>
          </cell>
          <cell r="F41" t="str">
            <v>-</v>
          </cell>
          <cell r="G41" t="str">
            <v>-</v>
          </cell>
          <cell r="H41" t="str">
            <v>-</v>
          </cell>
          <cell r="I41" t="str">
            <v>-</v>
          </cell>
          <cell r="J41" t="str">
            <v>-</v>
          </cell>
          <cell r="K41" t="str">
            <v>-</v>
          </cell>
        </row>
        <row r="42">
          <cell r="B42" t="str">
            <v>KAZ</v>
          </cell>
          <cell r="C42" t="str">
            <v>-</v>
          </cell>
          <cell r="D42" t="str">
            <v>-</v>
          </cell>
          <cell r="E42" t="str">
            <v>-</v>
          </cell>
          <cell r="F42" t="str">
            <v>-</v>
          </cell>
          <cell r="G42" t="str">
            <v>-</v>
          </cell>
          <cell r="H42" t="str">
            <v>-</v>
          </cell>
          <cell r="I42" t="str">
            <v>-</v>
          </cell>
          <cell r="J42" t="str">
            <v>-</v>
          </cell>
          <cell r="K42" t="str">
            <v>-</v>
          </cell>
        </row>
        <row r="43">
          <cell r="B43" t="str">
            <v>KOR</v>
          </cell>
          <cell r="C43" t="str">
            <v>-</v>
          </cell>
          <cell r="D43" t="str">
            <v>-</v>
          </cell>
          <cell r="E43" t="str">
            <v>-</v>
          </cell>
          <cell r="F43" t="str">
            <v>-</v>
          </cell>
          <cell r="G43" t="str">
            <v>-</v>
          </cell>
          <cell r="H43" t="str">
            <v>-</v>
          </cell>
          <cell r="I43" t="str">
            <v>-</v>
          </cell>
          <cell r="J43" t="str">
            <v>-</v>
          </cell>
          <cell r="K43" t="str">
            <v>-</v>
          </cell>
        </row>
        <row r="44">
          <cell r="B44" t="str">
            <v>KGZ</v>
          </cell>
          <cell r="C44" t="str">
            <v>-</v>
          </cell>
          <cell r="D44" t="str">
            <v>-</v>
          </cell>
          <cell r="E44" t="str">
            <v>-</v>
          </cell>
          <cell r="F44" t="str">
            <v>-</v>
          </cell>
          <cell r="G44" t="str">
            <v>-</v>
          </cell>
          <cell r="H44" t="str">
            <v>-</v>
          </cell>
          <cell r="I44" t="str">
            <v>-</v>
          </cell>
          <cell r="J44" t="str">
            <v>-</v>
          </cell>
          <cell r="K44" t="str">
            <v>-</v>
          </cell>
        </row>
        <row r="45">
          <cell r="B45" t="str">
            <v>LAO</v>
          </cell>
          <cell r="C45" t="str">
            <v>-</v>
          </cell>
          <cell r="D45" t="str">
            <v>-</v>
          </cell>
          <cell r="E45" t="str">
            <v>-</v>
          </cell>
          <cell r="F45" t="str">
            <v>-</v>
          </cell>
          <cell r="G45" t="str">
            <v>-</v>
          </cell>
          <cell r="H45" t="str">
            <v>-</v>
          </cell>
          <cell r="I45" t="str">
            <v>-</v>
          </cell>
          <cell r="J45" t="str">
            <v>-</v>
          </cell>
          <cell r="K45" t="str">
            <v>-</v>
          </cell>
        </row>
        <row r="46">
          <cell r="B46" t="str">
            <v>MYS</v>
          </cell>
          <cell r="C46">
            <v>0.12410045527977677</v>
          </cell>
          <cell r="D46">
            <v>0.1230624706434946</v>
          </cell>
          <cell r="E46">
            <v>0.12359806001818734</v>
          </cell>
          <cell r="F46">
            <v>0.43120344962759705</v>
          </cell>
          <cell r="G46">
            <v>0.41496668375192208</v>
          </cell>
          <cell r="H46">
            <v>0.42326769878250414</v>
          </cell>
          <cell r="I46">
            <v>0.23861988982313714</v>
          </cell>
          <cell r="J46">
            <v>0.29742473703300687</v>
          </cell>
          <cell r="K46">
            <v>0.26474379632613598</v>
          </cell>
        </row>
        <row r="47">
          <cell r="B47" t="str">
            <v>MMR</v>
          </cell>
          <cell r="C47" t="str">
            <v>-</v>
          </cell>
          <cell r="D47" t="str">
            <v>-</v>
          </cell>
          <cell r="E47" t="str">
            <v>-</v>
          </cell>
          <cell r="F47" t="str">
            <v>-</v>
          </cell>
          <cell r="G47" t="str">
            <v>-</v>
          </cell>
          <cell r="H47" t="str">
            <v>-</v>
          </cell>
          <cell r="I47" t="str">
            <v>-</v>
          </cell>
          <cell r="J47" t="str">
            <v>-</v>
          </cell>
          <cell r="K47" t="str">
            <v>-</v>
          </cell>
        </row>
        <row r="48">
          <cell r="B48" t="str">
            <v>NPL</v>
          </cell>
          <cell r="C48" t="str">
            <v>-</v>
          </cell>
          <cell r="D48" t="str">
            <v>-</v>
          </cell>
          <cell r="E48" t="str">
            <v>-</v>
          </cell>
          <cell r="F48" t="str">
            <v>-</v>
          </cell>
          <cell r="G48" t="str">
            <v>-</v>
          </cell>
          <cell r="H48" t="str">
            <v>-</v>
          </cell>
          <cell r="I48" t="str">
            <v>-</v>
          </cell>
          <cell r="J48" t="str">
            <v>-</v>
          </cell>
          <cell r="K48" t="str">
            <v>-</v>
          </cell>
        </row>
        <row r="49">
          <cell r="B49" t="str">
            <v>NZL</v>
          </cell>
          <cell r="C49" t="str">
            <v>-</v>
          </cell>
          <cell r="D49" t="str">
            <v>-</v>
          </cell>
          <cell r="E49" t="str">
            <v>-</v>
          </cell>
          <cell r="F49" t="str">
            <v>-</v>
          </cell>
          <cell r="G49" t="str">
            <v>-</v>
          </cell>
          <cell r="H49" t="str">
            <v>-</v>
          </cell>
          <cell r="I49" t="str">
            <v>-</v>
          </cell>
          <cell r="J49" t="str">
            <v>-</v>
          </cell>
          <cell r="K49" t="str">
            <v>-</v>
          </cell>
        </row>
        <row r="50">
          <cell r="B50" t="str">
            <v>PAK</v>
          </cell>
          <cell r="C50" t="str">
            <v>-</v>
          </cell>
          <cell r="D50" t="str">
            <v>-</v>
          </cell>
          <cell r="E50" t="str">
            <v>-</v>
          </cell>
          <cell r="F50" t="str">
            <v>-</v>
          </cell>
          <cell r="G50" t="str">
            <v>-</v>
          </cell>
          <cell r="H50" t="str">
            <v>-</v>
          </cell>
          <cell r="I50" t="str">
            <v>-</v>
          </cell>
          <cell r="J50" t="str">
            <v>-</v>
          </cell>
          <cell r="K50" t="str">
            <v>-</v>
          </cell>
        </row>
        <row r="51">
          <cell r="B51" t="str">
            <v>PNG</v>
          </cell>
          <cell r="C51" t="str">
            <v>-</v>
          </cell>
          <cell r="D51" t="str">
            <v>-</v>
          </cell>
          <cell r="E51" t="str">
            <v>-</v>
          </cell>
          <cell r="F51" t="str">
            <v>-</v>
          </cell>
          <cell r="G51" t="str">
            <v>-</v>
          </cell>
          <cell r="H51" t="str">
            <v>-</v>
          </cell>
          <cell r="I51" t="str">
            <v>-</v>
          </cell>
          <cell r="J51" t="str">
            <v>-</v>
          </cell>
          <cell r="K51" t="str">
            <v>-</v>
          </cell>
        </row>
        <row r="52">
          <cell r="B52" t="str">
            <v>PHL</v>
          </cell>
          <cell r="C52" t="str">
            <v>-</v>
          </cell>
          <cell r="D52" t="str">
            <v>-</v>
          </cell>
          <cell r="E52" t="str">
            <v>-</v>
          </cell>
          <cell r="F52" t="str">
            <v>-</v>
          </cell>
          <cell r="G52" t="str">
            <v>-</v>
          </cell>
          <cell r="H52" t="str">
            <v>-</v>
          </cell>
          <cell r="I52" t="str">
            <v>-</v>
          </cell>
          <cell r="J52" t="str">
            <v>-</v>
          </cell>
          <cell r="K52" t="str">
            <v>-</v>
          </cell>
        </row>
        <row r="53">
          <cell r="B53" t="str">
            <v>LKA</v>
          </cell>
          <cell r="C53" t="str">
            <v>-</v>
          </cell>
          <cell r="D53" t="str">
            <v>-</v>
          </cell>
          <cell r="E53" t="str">
            <v>-</v>
          </cell>
          <cell r="F53" t="str">
            <v>-</v>
          </cell>
          <cell r="G53" t="str">
            <v>-</v>
          </cell>
          <cell r="H53" t="str">
            <v>-</v>
          </cell>
          <cell r="I53" t="str">
            <v>-</v>
          </cell>
          <cell r="J53" t="str">
            <v>-</v>
          </cell>
          <cell r="K53" t="str">
            <v>-</v>
          </cell>
        </row>
        <row r="54">
          <cell r="B54" t="str">
            <v>TJK</v>
          </cell>
          <cell r="C54" t="str">
            <v>-</v>
          </cell>
          <cell r="D54" t="str">
            <v>-</v>
          </cell>
          <cell r="E54" t="str">
            <v>-</v>
          </cell>
          <cell r="F54" t="str">
            <v>-</v>
          </cell>
          <cell r="G54" t="str">
            <v>-</v>
          </cell>
          <cell r="H54" t="str">
            <v>-</v>
          </cell>
          <cell r="I54" t="str">
            <v>-</v>
          </cell>
          <cell r="J54" t="str">
            <v>-</v>
          </cell>
          <cell r="K54" t="str">
            <v>-</v>
          </cell>
        </row>
        <row r="55">
          <cell r="B55" t="str">
            <v>THA</v>
          </cell>
          <cell r="C55" t="str">
            <v>-</v>
          </cell>
          <cell r="D55" t="str">
            <v>-</v>
          </cell>
          <cell r="E55" t="str">
            <v>-</v>
          </cell>
          <cell r="F55" t="str">
            <v>-</v>
          </cell>
          <cell r="G55" t="str">
            <v>-</v>
          </cell>
          <cell r="H55" t="str">
            <v>-</v>
          </cell>
          <cell r="I55" t="str">
            <v>-</v>
          </cell>
          <cell r="J55" t="str">
            <v>-</v>
          </cell>
          <cell r="K55" t="str">
            <v>-</v>
          </cell>
        </row>
        <row r="56">
          <cell r="B56" t="str">
            <v>TKM</v>
          </cell>
          <cell r="C56" t="str">
            <v>-</v>
          </cell>
          <cell r="D56" t="str">
            <v>-</v>
          </cell>
          <cell r="E56" t="str">
            <v>-</v>
          </cell>
          <cell r="F56" t="str">
            <v>-</v>
          </cell>
          <cell r="G56" t="str">
            <v>-</v>
          </cell>
          <cell r="H56" t="str">
            <v>-</v>
          </cell>
          <cell r="I56" t="str">
            <v>-</v>
          </cell>
          <cell r="J56" t="str">
            <v>-</v>
          </cell>
          <cell r="K56" t="str">
            <v>-</v>
          </cell>
        </row>
        <row r="57">
          <cell r="B57" t="str">
            <v>UZB</v>
          </cell>
          <cell r="C57" t="str">
            <v>-</v>
          </cell>
          <cell r="D57" t="str">
            <v>-</v>
          </cell>
          <cell r="E57" t="str">
            <v>-</v>
          </cell>
          <cell r="F57" t="str">
            <v>-</v>
          </cell>
          <cell r="G57" t="str">
            <v>-</v>
          </cell>
          <cell r="H57" t="str">
            <v>-</v>
          </cell>
          <cell r="I57" t="str">
            <v>-</v>
          </cell>
          <cell r="J57" t="str">
            <v>-</v>
          </cell>
          <cell r="K57" t="str">
            <v>-</v>
          </cell>
        </row>
        <row r="58">
          <cell r="B58" t="str">
            <v>VNM</v>
          </cell>
          <cell r="C58" t="str">
            <v>-</v>
          </cell>
          <cell r="D58" t="str">
            <v>-</v>
          </cell>
          <cell r="E58" t="str">
            <v>-</v>
          </cell>
          <cell r="F58" t="str">
            <v>-</v>
          </cell>
          <cell r="G58" t="str">
            <v>-</v>
          </cell>
          <cell r="H58" t="str">
            <v>-</v>
          </cell>
          <cell r="I58" t="str">
            <v>-</v>
          </cell>
          <cell r="J58" t="str">
            <v>-</v>
          </cell>
          <cell r="K58" t="str">
            <v>-</v>
          </cell>
        </row>
        <row r="59">
          <cell r="B59" t="str">
            <v>ARG</v>
          </cell>
          <cell r="C59" t="str">
            <v>-</v>
          </cell>
          <cell r="D59" t="str">
            <v>-</v>
          </cell>
          <cell r="E59" t="str">
            <v>-</v>
          </cell>
          <cell r="F59" t="str">
            <v>-</v>
          </cell>
          <cell r="G59" t="str">
            <v>-</v>
          </cell>
          <cell r="H59" t="str">
            <v>-</v>
          </cell>
          <cell r="I59" t="str">
            <v>-</v>
          </cell>
          <cell r="J59" t="str">
            <v>-</v>
          </cell>
          <cell r="K59" t="str">
            <v>-</v>
          </cell>
        </row>
        <row r="60">
          <cell r="B60" t="str">
            <v>ABW</v>
          </cell>
          <cell r="C60" t="str">
            <v>-</v>
          </cell>
          <cell r="D60" t="str">
            <v>-</v>
          </cell>
          <cell r="E60" t="str">
            <v>-</v>
          </cell>
          <cell r="F60" t="str">
            <v>-</v>
          </cell>
          <cell r="G60" t="str">
            <v>-</v>
          </cell>
          <cell r="H60" t="str">
            <v>-</v>
          </cell>
          <cell r="I60" t="str">
            <v>-</v>
          </cell>
          <cell r="J60" t="str">
            <v>-</v>
          </cell>
          <cell r="K60" t="str">
            <v>-</v>
          </cell>
        </row>
        <row r="61">
          <cell r="B61" t="str">
            <v>BLZ</v>
          </cell>
          <cell r="C61" t="str">
            <v>-</v>
          </cell>
          <cell r="D61" t="str">
            <v>-</v>
          </cell>
          <cell r="E61" t="str">
            <v>-</v>
          </cell>
          <cell r="F61" t="str">
            <v>-</v>
          </cell>
          <cell r="G61" t="str">
            <v>-</v>
          </cell>
          <cell r="H61" t="str">
            <v>-</v>
          </cell>
          <cell r="I61" t="str">
            <v>-</v>
          </cell>
          <cell r="J61" t="str">
            <v>-</v>
          </cell>
          <cell r="K61" t="str">
            <v>-</v>
          </cell>
        </row>
        <row r="62">
          <cell r="B62" t="str">
            <v>BOL</v>
          </cell>
          <cell r="C62" t="str">
            <v>-</v>
          </cell>
          <cell r="D62" t="str">
            <v>-</v>
          </cell>
          <cell r="E62" t="str">
            <v>-</v>
          </cell>
          <cell r="F62" t="str">
            <v>-</v>
          </cell>
          <cell r="G62" t="str">
            <v>-</v>
          </cell>
          <cell r="H62" t="str">
            <v>-</v>
          </cell>
          <cell r="I62" t="str">
            <v>-</v>
          </cell>
          <cell r="J62" t="str">
            <v>-</v>
          </cell>
          <cell r="K62" t="str">
            <v>-</v>
          </cell>
        </row>
        <row r="63">
          <cell r="B63" t="str">
            <v>BRA</v>
          </cell>
          <cell r="C63" t="str">
            <v>-</v>
          </cell>
          <cell r="D63" t="str">
            <v>-</v>
          </cell>
          <cell r="E63" t="str">
            <v>-</v>
          </cell>
          <cell r="F63" t="str">
            <v>-</v>
          </cell>
          <cell r="G63" t="str">
            <v>-</v>
          </cell>
          <cell r="H63">
            <v>0.90436153628747706</v>
          </cell>
          <cell r="I63" t="str">
            <v>-</v>
          </cell>
          <cell r="J63" t="str">
            <v>-</v>
          </cell>
          <cell r="K63">
            <v>0.55994468312782075</v>
          </cell>
        </row>
        <row r="64">
          <cell r="B64" t="str">
            <v>CAN</v>
          </cell>
          <cell r="C64" t="str">
            <v>-</v>
          </cell>
          <cell r="D64" t="str">
            <v>-</v>
          </cell>
          <cell r="E64" t="str">
            <v>-</v>
          </cell>
          <cell r="F64" t="str">
            <v>-</v>
          </cell>
          <cell r="G64" t="str">
            <v>-</v>
          </cell>
          <cell r="H64" t="str">
            <v>-</v>
          </cell>
          <cell r="I64" t="str">
            <v>-</v>
          </cell>
          <cell r="J64" t="str">
            <v>-</v>
          </cell>
          <cell r="K64" t="str">
            <v>-</v>
          </cell>
        </row>
        <row r="65">
          <cell r="B65" t="str">
            <v>CHL</v>
          </cell>
          <cell r="C65" t="str">
            <v>-</v>
          </cell>
          <cell r="D65" t="str">
            <v>-</v>
          </cell>
          <cell r="E65" t="str">
            <v>-</v>
          </cell>
          <cell r="F65" t="str">
            <v>-</v>
          </cell>
          <cell r="G65" t="str">
            <v>-</v>
          </cell>
          <cell r="H65">
            <v>0.88553176174194714</v>
          </cell>
          <cell r="I65" t="str">
            <v>-</v>
          </cell>
          <cell r="J65" t="str">
            <v>-</v>
          </cell>
          <cell r="K65">
            <v>0.78222045837880738</v>
          </cell>
        </row>
        <row r="66">
          <cell r="B66" t="str">
            <v>COL</v>
          </cell>
          <cell r="C66" t="str">
            <v>-</v>
          </cell>
          <cell r="D66" t="str">
            <v>-</v>
          </cell>
          <cell r="E66" t="str">
            <v>-</v>
          </cell>
          <cell r="F66" t="str">
            <v>-</v>
          </cell>
          <cell r="G66" t="str">
            <v>-</v>
          </cell>
          <cell r="H66">
            <v>0.53016468861574062</v>
          </cell>
          <cell r="I66" t="str">
            <v>-</v>
          </cell>
          <cell r="J66" t="str">
            <v>-</v>
          </cell>
          <cell r="K66">
            <v>0.22220363004433227</v>
          </cell>
        </row>
        <row r="67">
          <cell r="B67" t="str">
            <v>CRI</v>
          </cell>
          <cell r="C67" t="str">
            <v>-</v>
          </cell>
          <cell r="D67" t="str">
            <v>-</v>
          </cell>
          <cell r="E67" t="str">
            <v>-</v>
          </cell>
          <cell r="F67" t="str">
            <v>-</v>
          </cell>
          <cell r="G67" t="str">
            <v>-</v>
          </cell>
          <cell r="H67">
            <v>0.83</v>
          </cell>
          <cell r="I67" t="str">
            <v>-</v>
          </cell>
          <cell r="J67" t="str">
            <v>-</v>
          </cell>
          <cell r="K67">
            <v>0.67</v>
          </cell>
        </row>
        <row r="68">
          <cell r="B68" t="str">
            <v>CUB</v>
          </cell>
          <cell r="C68" t="str">
            <v>-</v>
          </cell>
          <cell r="D68" t="str">
            <v>-</v>
          </cell>
          <cell r="E68" t="str">
            <v>-</v>
          </cell>
          <cell r="F68" t="str">
            <v>-</v>
          </cell>
          <cell r="G68" t="str">
            <v>-</v>
          </cell>
          <cell r="H68" t="str">
            <v>-</v>
          </cell>
          <cell r="I68" t="str">
            <v>-</v>
          </cell>
          <cell r="J68" t="str">
            <v>-</v>
          </cell>
          <cell r="K68" t="str">
            <v>-</v>
          </cell>
        </row>
        <row r="69">
          <cell r="B69" t="str">
            <v>CUW</v>
          </cell>
          <cell r="C69" t="str">
            <v>-</v>
          </cell>
          <cell r="D69" t="str">
            <v>-</v>
          </cell>
          <cell r="E69" t="str">
            <v>-</v>
          </cell>
          <cell r="F69" t="str">
            <v>-</v>
          </cell>
          <cell r="G69" t="str">
            <v>-</v>
          </cell>
          <cell r="H69" t="str">
            <v>-</v>
          </cell>
          <cell r="I69" t="str">
            <v>-</v>
          </cell>
          <cell r="J69" t="str">
            <v>-</v>
          </cell>
          <cell r="K69" t="str">
            <v>-</v>
          </cell>
        </row>
        <row r="70">
          <cell r="B70" t="str">
            <v>DOM</v>
          </cell>
          <cell r="C70" t="str">
            <v>-</v>
          </cell>
          <cell r="D70" t="str">
            <v>-</v>
          </cell>
          <cell r="E70" t="str">
            <v>-</v>
          </cell>
          <cell r="F70" t="str">
            <v>-</v>
          </cell>
          <cell r="G70" t="str">
            <v>-</v>
          </cell>
          <cell r="H70" t="str">
            <v>-</v>
          </cell>
          <cell r="I70" t="str">
            <v>-</v>
          </cell>
          <cell r="J70" t="str">
            <v>-</v>
          </cell>
          <cell r="K70" t="str">
            <v>-</v>
          </cell>
        </row>
        <row r="71">
          <cell r="B71" t="str">
            <v>ECU</v>
          </cell>
          <cell r="C71" t="str">
            <v>-</v>
          </cell>
          <cell r="D71" t="str">
            <v>-</v>
          </cell>
          <cell r="E71" t="str">
            <v>-</v>
          </cell>
          <cell r="F71" t="str">
            <v>-</v>
          </cell>
          <cell r="G71" t="str">
            <v>-</v>
          </cell>
          <cell r="H71">
            <v>0.83</v>
          </cell>
          <cell r="I71" t="str">
            <v>-</v>
          </cell>
          <cell r="J71" t="str">
            <v>-</v>
          </cell>
          <cell r="K71">
            <v>0.55000000000000004</v>
          </cell>
        </row>
        <row r="72">
          <cell r="B72" t="str">
            <v>SLV</v>
          </cell>
          <cell r="C72" t="str">
            <v>-</v>
          </cell>
          <cell r="D72" t="str">
            <v>-</v>
          </cell>
          <cell r="E72" t="str">
            <v>-</v>
          </cell>
          <cell r="F72" t="str">
            <v>-</v>
          </cell>
          <cell r="G72" t="str">
            <v>-</v>
          </cell>
          <cell r="H72" t="str">
            <v>-</v>
          </cell>
          <cell r="I72" t="str">
            <v>-</v>
          </cell>
          <cell r="J72" t="str">
            <v>-</v>
          </cell>
          <cell r="K72" t="str">
            <v>-</v>
          </cell>
        </row>
        <row r="73">
          <cell r="B73" t="str">
            <v>GTM</v>
          </cell>
          <cell r="C73" t="str">
            <v>-</v>
          </cell>
          <cell r="D73" t="str">
            <v>-</v>
          </cell>
          <cell r="E73" t="str">
            <v>-</v>
          </cell>
          <cell r="F73" t="str">
            <v>-</v>
          </cell>
          <cell r="G73" t="str">
            <v>-</v>
          </cell>
          <cell r="H73">
            <v>0.79</v>
          </cell>
          <cell r="I73" t="str">
            <v>-</v>
          </cell>
          <cell r="J73" t="str">
            <v>-</v>
          </cell>
          <cell r="K73">
            <v>0.78</v>
          </cell>
        </row>
        <row r="74">
          <cell r="B74" t="str">
            <v>GUY</v>
          </cell>
          <cell r="C74" t="str">
            <v>-</v>
          </cell>
          <cell r="D74" t="str">
            <v>-</v>
          </cell>
          <cell r="E74" t="str">
            <v>-</v>
          </cell>
          <cell r="F74" t="str">
            <v>-</v>
          </cell>
          <cell r="G74" t="str">
            <v>-</v>
          </cell>
          <cell r="H74" t="str">
            <v>-</v>
          </cell>
          <cell r="I74" t="str">
            <v>-</v>
          </cell>
          <cell r="J74" t="str">
            <v>-</v>
          </cell>
          <cell r="K74" t="str">
            <v>-</v>
          </cell>
        </row>
        <row r="75">
          <cell r="B75" t="str">
            <v>HAI</v>
          </cell>
          <cell r="C75" t="str">
            <v>-</v>
          </cell>
          <cell r="D75" t="str">
            <v>-</v>
          </cell>
          <cell r="E75" t="str">
            <v>-</v>
          </cell>
          <cell r="F75" t="str">
            <v>-</v>
          </cell>
          <cell r="G75" t="str">
            <v>-</v>
          </cell>
          <cell r="H75" t="str">
            <v>-</v>
          </cell>
          <cell r="I75" t="str">
            <v>-</v>
          </cell>
          <cell r="J75" t="str">
            <v>-</v>
          </cell>
          <cell r="K75" t="str">
            <v>-</v>
          </cell>
        </row>
        <row r="76">
          <cell r="B76" t="str">
            <v>HND</v>
          </cell>
          <cell r="C76" t="str">
            <v>-</v>
          </cell>
          <cell r="D76" t="str">
            <v>-</v>
          </cell>
          <cell r="E76" t="str">
            <v>-</v>
          </cell>
          <cell r="F76" t="str">
            <v>-</v>
          </cell>
          <cell r="G76" t="str">
            <v>-</v>
          </cell>
          <cell r="H76">
            <v>0.82</v>
          </cell>
          <cell r="I76" t="str">
            <v>-</v>
          </cell>
          <cell r="J76" t="str">
            <v>-</v>
          </cell>
          <cell r="K76">
            <v>0.76</v>
          </cell>
        </row>
        <row r="77">
          <cell r="B77" t="str">
            <v>MEX</v>
          </cell>
          <cell r="C77" t="str">
            <v>-</v>
          </cell>
          <cell r="D77" t="str">
            <v>-</v>
          </cell>
          <cell r="E77" t="str">
            <v>-</v>
          </cell>
          <cell r="F77" t="str">
            <v>-</v>
          </cell>
          <cell r="G77" t="str">
            <v>-</v>
          </cell>
          <cell r="H77" t="str">
            <v>-</v>
          </cell>
          <cell r="I77" t="str">
            <v>-</v>
          </cell>
          <cell r="J77" t="str">
            <v>-</v>
          </cell>
          <cell r="K77" t="str">
            <v>-</v>
          </cell>
        </row>
        <row r="78">
          <cell r="B78" t="str">
            <v>NIC</v>
          </cell>
          <cell r="C78" t="str">
            <v>-</v>
          </cell>
          <cell r="D78" t="str">
            <v>-</v>
          </cell>
          <cell r="E78" t="str">
            <v>-</v>
          </cell>
          <cell r="F78" t="str">
            <v>-</v>
          </cell>
          <cell r="G78" t="str">
            <v>-</v>
          </cell>
          <cell r="H78" t="str">
            <v>-</v>
          </cell>
          <cell r="I78" t="str">
            <v>-</v>
          </cell>
          <cell r="J78" t="str">
            <v>-</v>
          </cell>
          <cell r="K78" t="str">
            <v>-</v>
          </cell>
        </row>
        <row r="79">
          <cell r="B79" t="str">
            <v>PAN</v>
          </cell>
          <cell r="C79" t="str">
            <v>-</v>
          </cell>
          <cell r="D79" t="str">
            <v>-</v>
          </cell>
          <cell r="E79" t="str">
            <v>-</v>
          </cell>
          <cell r="F79" t="str">
            <v>-</v>
          </cell>
          <cell r="G79" t="str">
            <v>-</v>
          </cell>
          <cell r="H79">
            <v>0.85041841004184104</v>
          </cell>
          <cell r="I79" t="str">
            <v>-</v>
          </cell>
          <cell r="J79" t="str">
            <v>-</v>
          </cell>
          <cell r="K79">
            <v>0.85041841004184104</v>
          </cell>
        </row>
        <row r="80">
          <cell r="B80" t="str">
            <v>PRY</v>
          </cell>
          <cell r="C80" t="str">
            <v>-</v>
          </cell>
          <cell r="D80" t="str">
            <v>-</v>
          </cell>
          <cell r="E80" t="str">
            <v>-</v>
          </cell>
          <cell r="F80" t="str">
            <v>-</v>
          </cell>
          <cell r="G80" t="str">
            <v>-</v>
          </cell>
          <cell r="H80" t="str">
            <v>-</v>
          </cell>
          <cell r="I80" t="str">
            <v>-</v>
          </cell>
          <cell r="J80" t="str">
            <v>-</v>
          </cell>
          <cell r="K80" t="str">
            <v>-</v>
          </cell>
        </row>
        <row r="81">
          <cell r="B81" t="str">
            <v>PER</v>
          </cell>
          <cell r="C81" t="str">
            <v>-</v>
          </cell>
          <cell r="D81" t="str">
            <v>-</v>
          </cell>
          <cell r="E81" t="str">
            <v>-</v>
          </cell>
          <cell r="F81" t="str">
            <v>-</v>
          </cell>
          <cell r="G81" t="str">
            <v>-</v>
          </cell>
          <cell r="H81">
            <v>0.42018735148381381</v>
          </cell>
          <cell r="I81" t="str">
            <v>-</v>
          </cell>
          <cell r="J81" t="str">
            <v>-</v>
          </cell>
          <cell r="K81">
            <v>0.30591970816063951</v>
          </cell>
        </row>
        <row r="82">
          <cell r="B82" t="str">
            <v>LCA</v>
          </cell>
          <cell r="C82" t="str">
            <v>-</v>
          </cell>
          <cell r="D82" t="str">
            <v>-</v>
          </cell>
          <cell r="E82" t="str">
            <v>-</v>
          </cell>
          <cell r="F82" t="str">
            <v>-</v>
          </cell>
          <cell r="G82" t="str">
            <v>-</v>
          </cell>
          <cell r="H82" t="str">
            <v>-</v>
          </cell>
          <cell r="I82" t="str">
            <v>-</v>
          </cell>
          <cell r="J82" t="str">
            <v>-</v>
          </cell>
          <cell r="K82" t="str">
            <v>-</v>
          </cell>
        </row>
        <row r="83">
          <cell r="B83" t="str">
            <v>SXM</v>
          </cell>
          <cell r="C83" t="str">
            <v>-</v>
          </cell>
          <cell r="D83" t="str">
            <v>-</v>
          </cell>
          <cell r="E83" t="str">
            <v>-</v>
          </cell>
          <cell r="F83" t="str">
            <v>-</v>
          </cell>
          <cell r="G83" t="str">
            <v>-</v>
          </cell>
          <cell r="H83" t="str">
            <v>-</v>
          </cell>
          <cell r="I83" t="str">
            <v>-</v>
          </cell>
          <cell r="J83" t="str">
            <v>-</v>
          </cell>
          <cell r="K83" t="str">
            <v>-</v>
          </cell>
        </row>
        <row r="84">
          <cell r="B84" t="str">
            <v>SUR</v>
          </cell>
          <cell r="C84" t="str">
            <v>-</v>
          </cell>
          <cell r="D84" t="str">
            <v>-</v>
          </cell>
          <cell r="E84" t="str">
            <v>-</v>
          </cell>
          <cell r="F84" t="str">
            <v>-</v>
          </cell>
          <cell r="G84" t="str">
            <v>-</v>
          </cell>
          <cell r="H84" t="str">
            <v>-</v>
          </cell>
          <cell r="I84" t="str">
            <v>-</v>
          </cell>
          <cell r="J84" t="str">
            <v>-</v>
          </cell>
          <cell r="K84" t="str">
            <v>-</v>
          </cell>
        </row>
        <row r="85">
          <cell r="B85" t="str">
            <v>TTO</v>
          </cell>
          <cell r="C85" t="str">
            <v>-</v>
          </cell>
          <cell r="D85" t="str">
            <v>-</v>
          </cell>
          <cell r="E85" t="str">
            <v>-</v>
          </cell>
          <cell r="F85" t="str">
            <v>-</v>
          </cell>
          <cell r="G85" t="str">
            <v>-</v>
          </cell>
          <cell r="H85">
            <v>0.53014449427005483</v>
          </cell>
          <cell r="I85" t="str">
            <v>-</v>
          </cell>
          <cell r="J85" t="str">
            <v>-</v>
          </cell>
          <cell r="K85">
            <v>0.37016574585635359</v>
          </cell>
        </row>
        <row r="86">
          <cell r="B86" t="str">
            <v>TCI</v>
          </cell>
          <cell r="C86" t="str">
            <v>-</v>
          </cell>
          <cell r="D86" t="str">
            <v>-</v>
          </cell>
          <cell r="E86" t="str">
            <v>-</v>
          </cell>
          <cell r="F86" t="str">
            <v>-</v>
          </cell>
          <cell r="G86" t="str">
            <v>-</v>
          </cell>
          <cell r="H86" t="str">
            <v>-</v>
          </cell>
          <cell r="I86" t="str">
            <v>-</v>
          </cell>
          <cell r="J86" t="str">
            <v>-</v>
          </cell>
          <cell r="K86" t="str">
            <v>-</v>
          </cell>
        </row>
        <row r="87">
          <cell r="B87" t="str">
            <v>USA</v>
          </cell>
          <cell r="C87" t="str">
            <v>-</v>
          </cell>
          <cell r="D87" t="str">
            <v>-</v>
          </cell>
          <cell r="E87" t="str">
            <v>-</v>
          </cell>
          <cell r="F87" t="str">
            <v>-</v>
          </cell>
          <cell r="G87" t="str">
            <v>-</v>
          </cell>
          <cell r="H87" t="str">
            <v>-</v>
          </cell>
          <cell r="I87" t="str">
            <v>-</v>
          </cell>
          <cell r="J87" t="str">
            <v>-</v>
          </cell>
          <cell r="K87" t="str">
            <v>-</v>
          </cell>
        </row>
        <row r="88">
          <cell r="B88" t="str">
            <v>URY</v>
          </cell>
          <cell r="C88" t="str">
            <v>-</v>
          </cell>
          <cell r="D88" t="str">
            <v>-</v>
          </cell>
          <cell r="E88" t="str">
            <v>-</v>
          </cell>
          <cell r="F88" t="str">
            <v>-</v>
          </cell>
          <cell r="G88" t="str">
            <v>-</v>
          </cell>
          <cell r="H88" t="str">
            <v>-</v>
          </cell>
          <cell r="I88" t="str">
            <v>-</v>
          </cell>
          <cell r="J88" t="str">
            <v>-</v>
          </cell>
          <cell r="K88" t="str">
            <v>-</v>
          </cell>
        </row>
        <row r="89">
          <cell r="B89" t="str">
            <v>VEN</v>
          </cell>
          <cell r="C89" t="str">
            <v>-</v>
          </cell>
          <cell r="D89" t="str">
            <v>-</v>
          </cell>
          <cell r="E89" t="str">
            <v>-</v>
          </cell>
          <cell r="F89" t="str">
            <v>-</v>
          </cell>
          <cell r="G89" t="str">
            <v>-</v>
          </cell>
          <cell r="H89" t="str">
            <v>-</v>
          </cell>
          <cell r="I89" t="str">
            <v>-</v>
          </cell>
          <cell r="J89" t="str">
            <v>-</v>
          </cell>
          <cell r="K89" t="str">
            <v>-</v>
          </cell>
        </row>
        <row r="90">
          <cell r="B90" t="str">
            <v>ARG</v>
          </cell>
          <cell r="C90" t="str">
            <v>-</v>
          </cell>
          <cell r="D90" t="str">
            <v>-</v>
          </cell>
          <cell r="E90" t="str">
            <v>-</v>
          </cell>
          <cell r="F90" t="str">
            <v>-</v>
          </cell>
          <cell r="G90" t="str">
            <v>-</v>
          </cell>
          <cell r="H90" t="str">
            <v>-</v>
          </cell>
          <cell r="I90" t="str">
            <v>-</v>
          </cell>
          <cell r="J90" t="str">
            <v>-</v>
          </cell>
          <cell r="K90" t="str">
            <v>-</v>
          </cell>
        </row>
        <row r="91">
          <cell r="B91" t="str">
            <v>ABW</v>
          </cell>
          <cell r="C91" t="str">
            <v>-</v>
          </cell>
          <cell r="D91" t="str">
            <v>-</v>
          </cell>
          <cell r="E91" t="str">
            <v>-</v>
          </cell>
          <cell r="F91" t="str">
            <v>-</v>
          </cell>
          <cell r="G91" t="str">
            <v>-</v>
          </cell>
          <cell r="H91" t="str">
            <v>-</v>
          </cell>
          <cell r="I91" t="str">
            <v>-</v>
          </cell>
          <cell r="J91" t="str">
            <v>-</v>
          </cell>
          <cell r="K91" t="str">
            <v>-</v>
          </cell>
        </row>
        <row r="92">
          <cell r="B92" t="str">
            <v>BLZ</v>
          </cell>
          <cell r="C92" t="str">
            <v>-</v>
          </cell>
          <cell r="D92" t="str">
            <v>-</v>
          </cell>
          <cell r="E92" t="str">
            <v>-</v>
          </cell>
          <cell r="F92" t="str">
            <v>-</v>
          </cell>
          <cell r="G92" t="str">
            <v>-</v>
          </cell>
          <cell r="H92" t="str">
            <v>-</v>
          </cell>
          <cell r="I92" t="str">
            <v>-</v>
          </cell>
          <cell r="J92" t="str">
            <v>-</v>
          </cell>
          <cell r="K92" t="str">
            <v>-</v>
          </cell>
        </row>
        <row r="93">
          <cell r="B93" t="str">
            <v>BOL</v>
          </cell>
          <cell r="C93" t="str">
            <v>-</v>
          </cell>
          <cell r="D93" t="str">
            <v>-</v>
          </cell>
          <cell r="E93" t="str">
            <v>-</v>
          </cell>
          <cell r="F93" t="str">
            <v>-</v>
          </cell>
          <cell r="G93" t="str">
            <v>-</v>
          </cell>
          <cell r="H93" t="str">
            <v>-</v>
          </cell>
          <cell r="I93" t="str">
            <v>-</v>
          </cell>
          <cell r="J93" t="str">
            <v>-</v>
          </cell>
          <cell r="K93" t="str">
            <v>-</v>
          </cell>
        </row>
        <row r="94">
          <cell r="B94" t="str">
            <v>BRA</v>
          </cell>
          <cell r="C94" t="str">
            <v>-</v>
          </cell>
          <cell r="D94" t="str">
            <v>-</v>
          </cell>
          <cell r="E94" t="str">
            <v>-</v>
          </cell>
          <cell r="F94" t="str">
            <v>-</v>
          </cell>
          <cell r="G94" t="str">
            <v>-</v>
          </cell>
          <cell r="H94" t="str">
            <v>-</v>
          </cell>
          <cell r="I94" t="str">
            <v>-</v>
          </cell>
          <cell r="J94" t="str">
            <v>-</v>
          </cell>
          <cell r="K94" t="str">
            <v>-</v>
          </cell>
        </row>
        <row r="95">
          <cell r="B95" t="str">
            <v>CAN</v>
          </cell>
          <cell r="C95" t="str">
            <v>-</v>
          </cell>
          <cell r="D95" t="str">
            <v>-</v>
          </cell>
          <cell r="E95" t="str">
            <v>-</v>
          </cell>
          <cell r="F95" t="str">
            <v>-</v>
          </cell>
          <cell r="G95" t="str">
            <v>-</v>
          </cell>
          <cell r="H95" t="str">
            <v>-</v>
          </cell>
          <cell r="I95" t="str">
            <v>-</v>
          </cell>
          <cell r="J95" t="str">
            <v>-</v>
          </cell>
          <cell r="K95" t="str">
            <v>-</v>
          </cell>
        </row>
        <row r="96">
          <cell r="B96" t="str">
            <v>CHL</v>
          </cell>
          <cell r="C96" t="str">
            <v>-</v>
          </cell>
          <cell r="D96" t="str">
            <v>-</v>
          </cell>
          <cell r="E96" t="str">
            <v>-</v>
          </cell>
          <cell r="F96" t="str">
            <v>-</v>
          </cell>
          <cell r="G96" t="str">
            <v>-</v>
          </cell>
          <cell r="H96" t="str">
            <v>-</v>
          </cell>
          <cell r="I96" t="str">
            <v>-</v>
          </cell>
          <cell r="J96" t="str">
            <v>-</v>
          </cell>
          <cell r="K96" t="str">
            <v>-</v>
          </cell>
        </row>
        <row r="97">
          <cell r="B97" t="str">
            <v>COL</v>
          </cell>
          <cell r="C97" t="str">
            <v>-</v>
          </cell>
          <cell r="D97" t="str">
            <v>-</v>
          </cell>
          <cell r="E97" t="str">
            <v>-</v>
          </cell>
          <cell r="F97" t="str">
            <v>-</v>
          </cell>
          <cell r="G97" t="str">
            <v>-</v>
          </cell>
          <cell r="H97" t="str">
            <v>-</v>
          </cell>
          <cell r="I97" t="str">
            <v>-</v>
          </cell>
          <cell r="J97" t="str">
            <v>-</v>
          </cell>
          <cell r="K97" t="str">
            <v>-</v>
          </cell>
        </row>
        <row r="98">
          <cell r="B98" t="str">
            <v>CRI</v>
          </cell>
          <cell r="C98" t="str">
            <v>-</v>
          </cell>
          <cell r="D98" t="str">
            <v>-</v>
          </cell>
          <cell r="E98" t="str">
            <v>-</v>
          </cell>
          <cell r="F98" t="str">
            <v>-</v>
          </cell>
          <cell r="G98" t="str">
            <v>-</v>
          </cell>
          <cell r="H98" t="str">
            <v>-</v>
          </cell>
          <cell r="I98" t="str">
            <v>-</v>
          </cell>
          <cell r="J98" t="str">
            <v>-</v>
          </cell>
          <cell r="K98" t="str">
            <v>-</v>
          </cell>
        </row>
        <row r="99">
          <cell r="B99" t="str">
            <v>CUB</v>
          </cell>
          <cell r="C99" t="str">
            <v>-</v>
          </cell>
          <cell r="D99" t="str">
            <v>-</v>
          </cell>
          <cell r="E99" t="str">
            <v>-</v>
          </cell>
          <cell r="F99" t="str">
            <v>-</v>
          </cell>
          <cell r="G99" t="str">
            <v>-</v>
          </cell>
          <cell r="H99" t="str">
            <v>-</v>
          </cell>
          <cell r="I99" t="str">
            <v>-</v>
          </cell>
          <cell r="J99" t="str">
            <v>-</v>
          </cell>
          <cell r="K99" t="str">
            <v>-</v>
          </cell>
        </row>
        <row r="100">
          <cell r="B100" t="str">
            <v>CUW</v>
          </cell>
          <cell r="C100" t="str">
            <v>-</v>
          </cell>
          <cell r="D100" t="str">
            <v>-</v>
          </cell>
          <cell r="E100" t="str">
            <v>-</v>
          </cell>
          <cell r="F100" t="str">
            <v>-</v>
          </cell>
          <cell r="G100" t="str">
            <v>-</v>
          </cell>
          <cell r="H100" t="str">
            <v>-</v>
          </cell>
          <cell r="I100" t="str">
            <v>-</v>
          </cell>
          <cell r="J100" t="str">
            <v>-</v>
          </cell>
          <cell r="K100" t="str">
            <v>-</v>
          </cell>
        </row>
        <row r="101">
          <cell r="B101" t="str">
            <v>DOM</v>
          </cell>
          <cell r="C101" t="str">
            <v>-</v>
          </cell>
          <cell r="D101" t="str">
            <v>-</v>
          </cell>
          <cell r="E101" t="str">
            <v>-</v>
          </cell>
          <cell r="F101" t="str">
            <v>-</v>
          </cell>
          <cell r="G101" t="str">
            <v>-</v>
          </cell>
          <cell r="H101" t="str">
            <v>-</v>
          </cell>
          <cell r="I101" t="str">
            <v>-</v>
          </cell>
          <cell r="J101" t="str">
            <v>-</v>
          </cell>
          <cell r="K101" t="str">
            <v>-</v>
          </cell>
        </row>
        <row r="102">
          <cell r="B102" t="str">
            <v>ECU</v>
          </cell>
          <cell r="C102" t="str">
            <v>-</v>
          </cell>
          <cell r="D102" t="str">
            <v>-</v>
          </cell>
          <cell r="E102" t="str">
            <v>-</v>
          </cell>
          <cell r="F102" t="str">
            <v>-</v>
          </cell>
          <cell r="G102" t="str">
            <v>-</v>
          </cell>
          <cell r="H102" t="str">
            <v>-</v>
          </cell>
          <cell r="I102" t="str">
            <v>-</v>
          </cell>
          <cell r="J102" t="str">
            <v>-</v>
          </cell>
          <cell r="K102" t="str">
            <v>-</v>
          </cell>
        </row>
        <row r="103">
          <cell r="B103" t="str">
            <v>SLV</v>
          </cell>
          <cell r="C103" t="str">
            <v>-</v>
          </cell>
          <cell r="D103" t="str">
            <v>-</v>
          </cell>
          <cell r="E103" t="str">
            <v>-</v>
          </cell>
          <cell r="F103" t="str">
            <v>-</v>
          </cell>
          <cell r="G103" t="str">
            <v>-</v>
          </cell>
          <cell r="H103" t="str">
            <v>-</v>
          </cell>
          <cell r="I103" t="str">
            <v>-</v>
          </cell>
          <cell r="J103" t="str">
            <v>-</v>
          </cell>
          <cell r="K103" t="str">
            <v>-</v>
          </cell>
        </row>
        <row r="104">
          <cell r="B104" t="str">
            <v>GTM</v>
          </cell>
          <cell r="C104" t="str">
            <v>-</v>
          </cell>
          <cell r="D104" t="str">
            <v>-</v>
          </cell>
          <cell r="E104" t="str">
            <v>-</v>
          </cell>
          <cell r="F104" t="str">
            <v>-</v>
          </cell>
          <cell r="G104" t="str">
            <v>-</v>
          </cell>
          <cell r="H104" t="str">
            <v>-</v>
          </cell>
          <cell r="I104" t="str">
            <v>-</v>
          </cell>
          <cell r="J104" t="str">
            <v>-</v>
          </cell>
          <cell r="K104" t="str">
            <v>-</v>
          </cell>
        </row>
        <row r="105">
          <cell r="B105" t="str">
            <v>GUY</v>
          </cell>
          <cell r="C105" t="str">
            <v>-</v>
          </cell>
          <cell r="D105" t="str">
            <v>-</v>
          </cell>
          <cell r="E105" t="str">
            <v>-</v>
          </cell>
          <cell r="F105" t="str">
            <v>-</v>
          </cell>
          <cell r="G105" t="str">
            <v>-</v>
          </cell>
          <cell r="H105" t="str">
            <v>-</v>
          </cell>
          <cell r="I105" t="str">
            <v>-</v>
          </cell>
          <cell r="J105" t="str">
            <v>-</v>
          </cell>
          <cell r="K105" t="str">
            <v>-</v>
          </cell>
        </row>
        <row r="106">
          <cell r="B106" t="str">
            <v>HAI</v>
          </cell>
          <cell r="C106" t="str">
            <v>-</v>
          </cell>
          <cell r="D106" t="str">
            <v>-</v>
          </cell>
          <cell r="E106" t="str">
            <v>-</v>
          </cell>
          <cell r="F106" t="str">
            <v>-</v>
          </cell>
          <cell r="G106" t="str">
            <v>-</v>
          </cell>
          <cell r="H106" t="str">
            <v>-</v>
          </cell>
          <cell r="I106" t="str">
            <v>-</v>
          </cell>
          <cell r="J106" t="str">
            <v>-</v>
          </cell>
          <cell r="K106" t="str">
            <v>-</v>
          </cell>
        </row>
        <row r="107">
          <cell r="B107" t="str">
            <v>HND</v>
          </cell>
          <cell r="C107" t="str">
            <v>-</v>
          </cell>
          <cell r="D107" t="str">
            <v>-</v>
          </cell>
          <cell r="E107" t="str">
            <v>-</v>
          </cell>
          <cell r="F107" t="str">
            <v>-</v>
          </cell>
          <cell r="G107" t="str">
            <v>-</v>
          </cell>
          <cell r="H107" t="str">
            <v>-</v>
          </cell>
          <cell r="I107" t="str">
            <v>-</v>
          </cell>
          <cell r="J107" t="str">
            <v>-</v>
          </cell>
          <cell r="K107" t="str">
            <v>-</v>
          </cell>
        </row>
        <row r="108">
          <cell r="B108" t="str">
            <v>MEX</v>
          </cell>
          <cell r="C108" t="str">
            <v>-</v>
          </cell>
          <cell r="D108" t="str">
            <v>-</v>
          </cell>
          <cell r="E108" t="str">
            <v>-</v>
          </cell>
          <cell r="F108" t="str">
            <v>-</v>
          </cell>
          <cell r="G108" t="str">
            <v>-</v>
          </cell>
          <cell r="H108" t="str">
            <v>-</v>
          </cell>
          <cell r="I108" t="str">
            <v>-</v>
          </cell>
          <cell r="J108" t="str">
            <v>-</v>
          </cell>
          <cell r="K108" t="str">
            <v>-</v>
          </cell>
        </row>
        <row r="109">
          <cell r="B109" t="str">
            <v>NIC</v>
          </cell>
          <cell r="C109" t="str">
            <v>-</v>
          </cell>
          <cell r="D109" t="str">
            <v>-</v>
          </cell>
          <cell r="E109" t="str">
            <v>-</v>
          </cell>
          <cell r="F109" t="str">
            <v>-</v>
          </cell>
          <cell r="G109" t="str">
            <v>-</v>
          </cell>
          <cell r="H109" t="str">
            <v>-</v>
          </cell>
          <cell r="I109" t="str">
            <v>-</v>
          </cell>
          <cell r="J109" t="str">
            <v>-</v>
          </cell>
          <cell r="K109" t="str">
            <v>-</v>
          </cell>
        </row>
        <row r="110">
          <cell r="B110" t="str">
            <v>PAN</v>
          </cell>
          <cell r="C110" t="str">
            <v>-</v>
          </cell>
          <cell r="D110" t="str">
            <v>-</v>
          </cell>
          <cell r="E110" t="str">
            <v>-</v>
          </cell>
          <cell r="F110" t="str">
            <v>-</v>
          </cell>
          <cell r="G110" t="str">
            <v>-</v>
          </cell>
          <cell r="H110" t="str">
            <v>-</v>
          </cell>
          <cell r="I110" t="str">
            <v>-</v>
          </cell>
          <cell r="J110" t="str">
            <v>-</v>
          </cell>
          <cell r="K110" t="str">
            <v>-</v>
          </cell>
        </row>
        <row r="111">
          <cell r="B111" t="str">
            <v>PRY</v>
          </cell>
          <cell r="C111" t="str">
            <v>-</v>
          </cell>
          <cell r="D111" t="str">
            <v>-</v>
          </cell>
          <cell r="E111" t="str">
            <v>-</v>
          </cell>
          <cell r="F111" t="str">
            <v>-</v>
          </cell>
          <cell r="G111" t="str">
            <v>-</v>
          </cell>
          <cell r="H111" t="str">
            <v>-</v>
          </cell>
          <cell r="I111" t="str">
            <v>-</v>
          </cell>
          <cell r="J111" t="str">
            <v>-</v>
          </cell>
          <cell r="K111" t="str">
            <v>-</v>
          </cell>
        </row>
        <row r="112">
          <cell r="B112" t="str">
            <v>PER</v>
          </cell>
          <cell r="C112" t="str">
            <v>-</v>
          </cell>
          <cell r="D112" t="str">
            <v>-</v>
          </cell>
          <cell r="E112" t="str">
            <v>-</v>
          </cell>
          <cell r="F112" t="str">
            <v>-</v>
          </cell>
          <cell r="G112" t="str">
            <v>-</v>
          </cell>
          <cell r="H112" t="str">
            <v>-</v>
          </cell>
          <cell r="I112" t="str">
            <v>-</v>
          </cell>
          <cell r="J112" t="str">
            <v>-</v>
          </cell>
          <cell r="K112" t="str">
            <v>-</v>
          </cell>
        </row>
        <row r="113">
          <cell r="B113" t="str">
            <v>LCA</v>
          </cell>
          <cell r="C113" t="str">
            <v>-</v>
          </cell>
          <cell r="D113" t="str">
            <v>-</v>
          </cell>
          <cell r="E113" t="str">
            <v>-</v>
          </cell>
          <cell r="F113" t="str">
            <v>-</v>
          </cell>
          <cell r="G113" t="str">
            <v>-</v>
          </cell>
          <cell r="H113" t="str">
            <v>-</v>
          </cell>
          <cell r="I113" t="str">
            <v>-</v>
          </cell>
          <cell r="J113" t="str">
            <v>-</v>
          </cell>
          <cell r="K113" t="str">
            <v>-</v>
          </cell>
        </row>
        <row r="114">
          <cell r="B114" t="str">
            <v>SXM</v>
          </cell>
          <cell r="C114" t="str">
            <v>-</v>
          </cell>
          <cell r="D114" t="str">
            <v>-</v>
          </cell>
          <cell r="E114" t="str">
            <v>-</v>
          </cell>
          <cell r="F114" t="str">
            <v>-</v>
          </cell>
          <cell r="G114" t="str">
            <v>-</v>
          </cell>
          <cell r="H114" t="str">
            <v>-</v>
          </cell>
          <cell r="I114" t="str">
            <v>-</v>
          </cell>
          <cell r="J114" t="str">
            <v>-</v>
          </cell>
          <cell r="K114" t="str">
            <v>-</v>
          </cell>
        </row>
        <row r="115">
          <cell r="B115" t="str">
            <v>SUR</v>
          </cell>
          <cell r="C115" t="str">
            <v>-</v>
          </cell>
          <cell r="D115" t="str">
            <v>-</v>
          </cell>
          <cell r="E115" t="str">
            <v>-</v>
          </cell>
          <cell r="F115" t="str">
            <v>-</v>
          </cell>
          <cell r="G115" t="str">
            <v>-</v>
          </cell>
          <cell r="H115" t="str">
            <v>-</v>
          </cell>
          <cell r="I115" t="str">
            <v>-</v>
          </cell>
          <cell r="J115" t="str">
            <v>-</v>
          </cell>
          <cell r="K115" t="str">
            <v>-</v>
          </cell>
        </row>
        <row r="116">
          <cell r="B116" t="str">
            <v>TTO</v>
          </cell>
          <cell r="C116" t="str">
            <v>-</v>
          </cell>
          <cell r="D116" t="str">
            <v>-</v>
          </cell>
          <cell r="E116" t="str">
            <v>-</v>
          </cell>
          <cell r="F116" t="str">
            <v>-</v>
          </cell>
          <cell r="G116" t="str">
            <v>-</v>
          </cell>
          <cell r="H116" t="str">
            <v>-</v>
          </cell>
          <cell r="I116" t="str">
            <v>-</v>
          </cell>
          <cell r="J116" t="str">
            <v>-</v>
          </cell>
          <cell r="K116" t="str">
            <v>-</v>
          </cell>
        </row>
        <row r="117">
          <cell r="B117" t="str">
            <v>TCI</v>
          </cell>
          <cell r="C117" t="str">
            <v>-</v>
          </cell>
          <cell r="D117" t="str">
            <v>-</v>
          </cell>
          <cell r="E117" t="str">
            <v>-</v>
          </cell>
          <cell r="F117" t="str">
            <v>-</v>
          </cell>
          <cell r="G117" t="str">
            <v>-</v>
          </cell>
          <cell r="H117" t="str">
            <v>-</v>
          </cell>
          <cell r="I117" t="str">
            <v>-</v>
          </cell>
          <cell r="J117" t="str">
            <v>-</v>
          </cell>
          <cell r="K117" t="str">
            <v>-</v>
          </cell>
        </row>
        <row r="118">
          <cell r="B118" t="str">
            <v>USA</v>
          </cell>
          <cell r="C118" t="str">
            <v>-</v>
          </cell>
          <cell r="D118" t="str">
            <v>-</v>
          </cell>
          <cell r="E118" t="str">
            <v>-</v>
          </cell>
          <cell r="F118" t="str">
            <v>-</v>
          </cell>
          <cell r="G118" t="str">
            <v>-</v>
          </cell>
          <cell r="H118" t="str">
            <v>-</v>
          </cell>
          <cell r="I118" t="str">
            <v>-</v>
          </cell>
          <cell r="J118" t="str">
            <v>-</v>
          </cell>
          <cell r="K118" t="str">
            <v>-</v>
          </cell>
        </row>
        <row r="119">
          <cell r="B119" t="str">
            <v>URY</v>
          </cell>
          <cell r="C119" t="str">
            <v>-</v>
          </cell>
          <cell r="D119" t="str">
            <v>-</v>
          </cell>
          <cell r="E119" t="str">
            <v>-</v>
          </cell>
          <cell r="F119" t="str">
            <v>-</v>
          </cell>
          <cell r="G119" t="str">
            <v>-</v>
          </cell>
          <cell r="H119" t="str">
            <v>-</v>
          </cell>
          <cell r="I119" t="str">
            <v>-</v>
          </cell>
          <cell r="J119" t="str">
            <v>-</v>
          </cell>
          <cell r="K119" t="str">
            <v>-</v>
          </cell>
        </row>
        <row r="120">
          <cell r="B120" t="str">
            <v>VEN</v>
          </cell>
          <cell r="C120" t="str">
            <v>-</v>
          </cell>
          <cell r="D120" t="str">
            <v>-</v>
          </cell>
          <cell r="E120" t="str">
            <v>-</v>
          </cell>
          <cell r="F120" t="str">
            <v>-</v>
          </cell>
          <cell r="G120" t="str">
            <v>-</v>
          </cell>
          <cell r="H120" t="str">
            <v>-</v>
          </cell>
          <cell r="I120" t="str">
            <v>-</v>
          </cell>
          <cell r="J120" t="str">
            <v>-</v>
          </cell>
          <cell r="K120" t="str">
            <v>-</v>
          </cell>
        </row>
        <row r="121">
          <cell r="B121" t="str">
            <v>BDI</v>
          </cell>
          <cell r="C121">
            <v>0.5436893203883495</v>
          </cell>
          <cell r="D121">
            <v>0.52918108419838528</v>
          </cell>
          <cell r="E121">
            <v>0.53651300775901412</v>
          </cell>
          <cell r="F121">
            <v>0.78550430816016215</v>
          </cell>
          <cell r="G121">
            <v>0.77312661498708013</v>
          </cell>
          <cell r="H121">
            <v>0.7793756397134084</v>
          </cell>
          <cell r="I121">
            <v>0.63179454860564044</v>
          </cell>
          <cell r="J121">
            <v>0.55048911328494798</v>
          </cell>
          <cell r="K121">
            <v>0.59117067402443835</v>
          </cell>
        </row>
        <row r="122">
          <cell r="B122" t="str">
            <v>DJI</v>
          </cell>
          <cell r="C122">
            <v>0.19593998234774934</v>
          </cell>
          <cell r="D122">
            <v>0.18051575931232092</v>
          </cell>
          <cell r="E122">
            <v>0.18853211009174312</v>
          </cell>
          <cell r="F122">
            <v>0.6565495207667732</v>
          </cell>
          <cell r="G122">
            <v>0.64006514657980451</v>
          </cell>
          <cell r="H122">
            <v>0.64838709677419359</v>
          </cell>
          <cell r="I122">
            <v>0.45039062499999999</v>
          </cell>
          <cell r="J122">
            <v>0.3611342785654712</v>
          </cell>
          <cell r="K122">
            <v>0.40722065348931019</v>
          </cell>
        </row>
        <row r="123">
          <cell r="B123" t="str">
            <v>ERI</v>
          </cell>
          <cell r="C123" t="str">
            <v>-</v>
          </cell>
          <cell r="D123" t="str">
            <v>-</v>
          </cell>
          <cell r="E123" t="str">
            <v>-</v>
          </cell>
          <cell r="F123" t="str">
            <v>-</v>
          </cell>
          <cell r="G123" t="str">
            <v>-</v>
          </cell>
          <cell r="I123" t="str">
            <v>-</v>
          </cell>
          <cell r="J123" t="str">
            <v>-</v>
          </cell>
        </row>
        <row r="124">
          <cell r="B124" t="str">
            <v>ETH</v>
          </cell>
          <cell r="C124">
            <v>0.4065300474433316</v>
          </cell>
          <cell r="D124">
            <v>0.40857404704524625</v>
          </cell>
          <cell r="E124">
            <v>0.40753682309865746</v>
          </cell>
          <cell r="F124">
            <v>0.56763457992445265</v>
          </cell>
          <cell r="G124">
            <v>0.4527342015687435</v>
          </cell>
          <cell r="H124">
            <v>0.53575945048446527</v>
          </cell>
          <cell r="I124">
            <v>0.23348266537514631</v>
          </cell>
          <cell r="J124">
            <v>9.52985729460121E-2</v>
          </cell>
          <cell r="K124">
            <v>0.19805082920525521</v>
          </cell>
        </row>
        <row r="125">
          <cell r="B125" t="str">
            <v>KEN</v>
          </cell>
          <cell r="C125">
            <v>0.73640220084841868</v>
          </cell>
          <cell r="D125">
            <v>0.7073897762156871</v>
          </cell>
          <cell r="E125">
            <v>0.72231344250961416</v>
          </cell>
          <cell r="F125">
            <v>0.77133831050163626</v>
          </cell>
          <cell r="G125">
            <v>0.6519922583023563</v>
          </cell>
          <cell r="H125">
            <v>0.71407831027850044</v>
          </cell>
          <cell r="I125">
            <v>0.56589930966754287</v>
          </cell>
          <cell r="J125">
            <v>0.35256953038494104</v>
          </cell>
          <cell r="K125">
            <v>0.46562676994198415</v>
          </cell>
        </row>
        <row r="126">
          <cell r="B126" t="str">
            <v>RWA</v>
          </cell>
          <cell r="C126">
            <v>0.70694040697674421</v>
          </cell>
          <cell r="D126">
            <v>0.72981759075311536</v>
          </cell>
          <cell r="E126">
            <v>0.71841318721130332</v>
          </cell>
          <cell r="F126">
            <v>1.234573074908329</v>
          </cell>
          <cell r="G126">
            <v>1.25676404009917</v>
          </cell>
          <cell r="H126">
            <v>1.2455105727340345</v>
          </cell>
          <cell r="I126">
            <v>0.78395860284605434</v>
          </cell>
          <cell r="J126">
            <v>0.66635426429240863</v>
          </cell>
          <cell r="K126">
            <v>0.72504254944539004</v>
          </cell>
        </row>
        <row r="127">
          <cell r="B127" t="str">
            <v>SOM</v>
          </cell>
          <cell r="C127">
            <v>9.036144578313253E-2</v>
          </cell>
          <cell r="D127">
            <v>0.13216145833333334</v>
          </cell>
          <cell r="E127">
            <v>0.11045056320400501</v>
          </cell>
          <cell r="F127">
            <v>0.85242518059855521</v>
          </cell>
          <cell r="G127">
            <v>0.86463939720129168</v>
          </cell>
          <cell r="H127">
            <v>0.85840358271865125</v>
          </cell>
          <cell r="I127">
            <v>0.30140982012639767</v>
          </cell>
          <cell r="J127">
            <v>0.24093925472179684</v>
          </cell>
          <cell r="K127">
            <v>0.27191235059760954</v>
          </cell>
        </row>
        <row r="128">
          <cell r="B128" t="str">
            <v>SSD</v>
          </cell>
          <cell r="C128">
            <v>0.44494331574811991</v>
          </cell>
          <cell r="D128">
            <v>0.44498319466637282</v>
          </cell>
          <cell r="E128">
            <v>0.44496343870770427</v>
          </cell>
          <cell r="F128">
            <v>0.70117676514772154</v>
          </cell>
          <cell r="G128">
            <v>0.62805880887116872</v>
          </cell>
          <cell r="H128">
            <v>0.66453103534407398</v>
          </cell>
          <cell r="I128">
            <v>0.50099678812714588</v>
          </cell>
          <cell r="J128">
            <v>0.37529495692257037</v>
          </cell>
          <cell r="K128">
            <v>0.43786003693393238</v>
          </cell>
        </row>
        <row r="129">
          <cell r="B129" t="str">
            <v>SDN</v>
          </cell>
          <cell r="C129">
            <v>3.2380804472744218E-2</v>
          </cell>
          <cell r="D129">
            <v>3.3120050348770129E-2</v>
          </cell>
          <cell r="E129">
            <v>3.2748020008336806E-2</v>
          </cell>
          <cell r="F129">
            <v>0.31636600985687663</v>
          </cell>
          <cell r="G129">
            <v>0.29280736205767971</v>
          </cell>
          <cell r="H129">
            <v>0.30468947551730224</v>
          </cell>
          <cell r="I129">
            <v>6.7570093457943931E-2</v>
          </cell>
          <cell r="J129">
            <v>7.0459153249850928E-2</v>
          </cell>
          <cell r="K129">
            <v>6.8999704927707295E-2</v>
          </cell>
        </row>
        <row r="130">
          <cell r="B130" t="str">
            <v>TZA</v>
          </cell>
          <cell r="C130">
            <v>0.6977879481311976</v>
          </cell>
          <cell r="D130">
            <v>0.71126653489432867</v>
          </cell>
          <cell r="E130">
            <v>0.70453853183064274</v>
          </cell>
          <cell r="F130">
            <v>1.4274407824071458</v>
          </cell>
          <cell r="G130">
            <v>1.4320614239181015</v>
          </cell>
          <cell r="H130">
            <v>1.4297181846850722</v>
          </cell>
          <cell r="I130">
            <v>0.38571512275150877</v>
          </cell>
          <cell r="J130">
            <v>0.39533777354900096</v>
          </cell>
          <cell r="K130">
            <v>0.39049080659917951</v>
          </cell>
        </row>
        <row r="131">
          <cell r="B131" t="str">
            <v>UGA</v>
          </cell>
          <cell r="C131">
            <v>0.38655060264013774</v>
          </cell>
          <cell r="D131">
            <v>0.40340282770189312</v>
          </cell>
          <cell r="E131">
            <v>0.39496804155794413</v>
          </cell>
          <cell r="F131">
            <v>0.90563322132642177</v>
          </cell>
          <cell r="G131">
            <v>0.82105115085016966</v>
          </cell>
          <cell r="H131">
            <v>0.86380566191410613</v>
          </cell>
          <cell r="I131">
            <v>0.12571043102713014</v>
          </cell>
          <cell r="J131">
            <v>6.2060233182637072E-2</v>
          </cell>
          <cell r="K131">
            <v>9.5342736785770751E-2</v>
          </cell>
        </row>
        <row r="132">
          <cell r="B132" t="str">
            <v>BDI</v>
          </cell>
          <cell r="C132" t="str">
            <v>-</v>
          </cell>
          <cell r="D132" t="str">
            <v>-</v>
          </cell>
          <cell r="E132" t="str">
            <v>-</v>
          </cell>
          <cell r="F132" t="str">
            <v>-</v>
          </cell>
          <cell r="G132" t="str">
            <v>-</v>
          </cell>
          <cell r="H132" t="str">
            <v>-</v>
          </cell>
          <cell r="I132" t="str">
            <v>-</v>
          </cell>
          <cell r="J132" t="str">
            <v>-</v>
          </cell>
          <cell r="K132" t="str">
            <v>-</v>
          </cell>
        </row>
        <row r="133">
          <cell r="B133" t="str">
            <v>DJI</v>
          </cell>
          <cell r="C133" t="str">
            <v>-</v>
          </cell>
          <cell r="D133" t="str">
            <v>-</v>
          </cell>
          <cell r="E133" t="str">
            <v>-</v>
          </cell>
          <cell r="F133" t="str">
            <v>-</v>
          </cell>
          <cell r="G133" t="str">
            <v>-</v>
          </cell>
          <cell r="H133" t="str">
            <v>-</v>
          </cell>
          <cell r="I133" t="str">
            <v>-</v>
          </cell>
          <cell r="J133" t="str">
            <v>-</v>
          </cell>
          <cell r="K133" t="str">
            <v>-</v>
          </cell>
        </row>
        <row r="134">
          <cell r="B134" t="str">
            <v>ERI</v>
          </cell>
          <cell r="C134" t="str">
            <v>-</v>
          </cell>
          <cell r="D134" t="str">
            <v>-</v>
          </cell>
          <cell r="E134" t="str">
            <v>-</v>
          </cell>
          <cell r="F134" t="str">
            <v>-</v>
          </cell>
          <cell r="G134" t="str">
            <v>-</v>
          </cell>
          <cell r="H134" t="str">
            <v>-</v>
          </cell>
          <cell r="I134" t="str">
            <v>-</v>
          </cell>
          <cell r="J134" t="str">
            <v>-</v>
          </cell>
          <cell r="K134" t="str">
            <v>-</v>
          </cell>
        </row>
        <row r="135">
          <cell r="B135" t="str">
            <v>ETH</v>
          </cell>
          <cell r="C135">
            <v>0.47721117525479295</v>
          </cell>
          <cell r="D135">
            <v>0.4323983554134308</v>
          </cell>
          <cell r="E135">
            <v>0.45508755153406888</v>
          </cell>
          <cell r="F135">
            <v>0.56989508924226795</v>
          </cell>
          <cell r="G135">
            <v>0.42654508611955422</v>
          </cell>
          <cell r="H135">
            <v>0.49966245395971287</v>
          </cell>
          <cell r="I135">
            <v>0.22214542438484933</v>
          </cell>
          <cell r="J135">
            <v>7.9642724227763306E-2</v>
          </cell>
          <cell r="K135">
            <v>0.15598232578805757</v>
          </cell>
        </row>
        <row r="136">
          <cell r="B136" t="str">
            <v>KEN</v>
          </cell>
          <cell r="C136" t="str">
            <v>-</v>
          </cell>
          <cell r="D136" t="str">
            <v>-</v>
          </cell>
          <cell r="E136" t="str">
            <v>-</v>
          </cell>
          <cell r="F136" t="str">
            <v>-</v>
          </cell>
          <cell r="G136" t="str">
            <v>-</v>
          </cell>
          <cell r="H136" t="str">
            <v>-</v>
          </cell>
          <cell r="I136" t="str">
            <v>-</v>
          </cell>
          <cell r="J136" t="str">
            <v>-</v>
          </cell>
          <cell r="K136" t="str">
            <v>-</v>
          </cell>
        </row>
        <row r="137">
          <cell r="B137" t="str">
            <v>RWA</v>
          </cell>
          <cell r="C137" t="str">
            <v>-</v>
          </cell>
          <cell r="D137" t="str">
            <v>-</v>
          </cell>
          <cell r="E137" t="str">
            <v>-</v>
          </cell>
          <cell r="F137" t="str">
            <v>-</v>
          </cell>
          <cell r="G137" t="str">
            <v>-</v>
          </cell>
          <cell r="H137" t="str">
            <v>-</v>
          </cell>
          <cell r="I137" t="str">
            <v>-</v>
          </cell>
          <cell r="J137" t="str">
            <v>-</v>
          </cell>
          <cell r="K137" t="str">
            <v>-</v>
          </cell>
        </row>
        <row r="138">
          <cell r="B138" t="str">
            <v>SOM</v>
          </cell>
          <cell r="C138">
            <v>4.8795552810376779E-2</v>
          </cell>
          <cell r="D138">
            <v>9.4885598923283979E-2</v>
          </cell>
          <cell r="E138">
            <v>7.0853462157809979E-2</v>
          </cell>
          <cell r="F138">
            <v>0.73400412796697623</v>
          </cell>
          <cell r="G138">
            <v>0.73160980810234544</v>
          </cell>
          <cell r="H138">
            <v>0.73282642894598848</v>
          </cell>
          <cell r="I138">
            <v>0.28556319407720782</v>
          </cell>
          <cell r="J138">
            <v>0.20173066522444566</v>
          </cell>
          <cell r="K138">
            <v>0.24411764705882352</v>
          </cell>
        </row>
        <row r="139">
          <cell r="B139" t="str">
            <v>SSD</v>
          </cell>
          <cell r="C139" t="str">
            <v>-</v>
          </cell>
          <cell r="D139" t="str">
            <v>-</v>
          </cell>
          <cell r="E139" t="str">
            <v>-</v>
          </cell>
          <cell r="F139" t="str">
            <v>-</v>
          </cell>
          <cell r="G139" t="str">
            <v>-</v>
          </cell>
          <cell r="H139" t="str">
            <v>-</v>
          </cell>
          <cell r="I139" t="str">
            <v>-</v>
          </cell>
          <cell r="J139" t="str">
            <v>-</v>
          </cell>
          <cell r="K139" t="str">
            <v>-</v>
          </cell>
        </row>
        <row r="140">
          <cell r="B140" t="str">
            <v>SDN</v>
          </cell>
          <cell r="C140" t="str">
            <v>-</v>
          </cell>
          <cell r="D140" t="str">
            <v>-</v>
          </cell>
          <cell r="E140" t="str">
            <v>-</v>
          </cell>
          <cell r="F140" t="str">
            <v>-</v>
          </cell>
          <cell r="G140" t="str">
            <v>-</v>
          </cell>
          <cell r="H140" t="str">
            <v>-</v>
          </cell>
          <cell r="I140" t="str">
            <v>-</v>
          </cell>
          <cell r="J140" t="str">
            <v>-</v>
          </cell>
          <cell r="K140" t="str">
            <v>-</v>
          </cell>
        </row>
        <row r="141">
          <cell r="B141" t="str">
            <v>TZA</v>
          </cell>
          <cell r="C141" t="str">
            <v>-</v>
          </cell>
          <cell r="D141" t="str">
            <v>-</v>
          </cell>
          <cell r="E141" t="str">
            <v>-</v>
          </cell>
          <cell r="F141" t="str">
            <v>-</v>
          </cell>
          <cell r="G141" t="str">
            <v>-</v>
          </cell>
          <cell r="H141" t="str">
            <v>-</v>
          </cell>
          <cell r="I141" t="str">
            <v>-</v>
          </cell>
          <cell r="J141" t="str">
            <v>-</v>
          </cell>
          <cell r="K141" t="str">
            <v>-</v>
          </cell>
        </row>
        <row r="142">
          <cell r="B142" t="str">
            <v>UGA</v>
          </cell>
          <cell r="C142" t="str">
            <v>-</v>
          </cell>
          <cell r="D142" t="str">
            <v>-</v>
          </cell>
          <cell r="E142" t="str">
            <v>-</v>
          </cell>
          <cell r="F142" t="str">
            <v>-</v>
          </cell>
          <cell r="G142" t="str">
            <v>-</v>
          </cell>
          <cell r="H142" t="str">
            <v>-</v>
          </cell>
          <cell r="I142" t="str">
            <v>-</v>
          </cell>
          <cell r="J142" t="str">
            <v>-</v>
          </cell>
          <cell r="K142" t="str">
            <v>-</v>
          </cell>
        </row>
        <row r="143">
          <cell r="B143" t="str">
            <v>DZA</v>
          </cell>
          <cell r="C143">
            <v>6.5573770491803282E-2</v>
          </cell>
          <cell r="D143">
            <v>8.2379862700228831E-2</v>
          </cell>
          <cell r="E143">
            <v>7.3513513513513512E-2</v>
          </cell>
          <cell r="F143">
            <v>0.36061381074168797</v>
          </cell>
          <cell r="G143">
            <v>0.35451977401129942</v>
          </cell>
          <cell r="H143">
            <v>0.35771812080536913</v>
          </cell>
          <cell r="I143">
            <v>0.17809867629362214</v>
          </cell>
          <cell r="J143">
            <v>0.24550898203592814</v>
          </cell>
          <cell r="K143">
            <v>0.20813875917278185</v>
          </cell>
        </row>
        <row r="144">
          <cell r="B144" t="str">
            <v>EGY</v>
          </cell>
          <cell r="C144">
            <v>0.66506506506506502</v>
          </cell>
          <cell r="D144">
            <v>0.66799873803764853</v>
          </cell>
          <cell r="E144">
            <v>0.66649571772911431</v>
          </cell>
          <cell r="F144">
            <v>0.84603174603174602</v>
          </cell>
          <cell r="G144">
            <v>0.85415700681242646</v>
          </cell>
          <cell r="H144">
            <v>0.84998352039134739</v>
          </cell>
          <cell r="I144">
            <v>0.78992595301215829</v>
          </cell>
          <cell r="J144">
            <v>0.79004095710282385</v>
          </cell>
          <cell r="K144">
            <v>0.78997873077113323</v>
          </cell>
        </row>
        <row r="145">
          <cell r="B145" t="str">
            <v>IRQ</v>
          </cell>
          <cell r="F145">
            <v>0.64546753777051857</v>
          </cell>
          <cell r="G145">
            <v>0.70421229090130899</v>
          </cell>
          <cell r="H145">
            <v>0.67414888985633437</v>
          </cell>
          <cell r="I145">
            <v>0.29936116476006536</v>
          </cell>
          <cell r="J145">
            <v>0.35397334233170236</v>
          </cell>
          <cell r="K145">
            <v>0.32493284879127826</v>
          </cell>
        </row>
        <row r="146">
          <cell r="B146" t="str">
            <v>ISR</v>
          </cell>
          <cell r="C146" t="str">
            <v>-</v>
          </cell>
          <cell r="D146" t="str">
            <v>-</v>
          </cell>
          <cell r="E146" t="str">
            <v>-</v>
          </cell>
          <cell r="F146" t="str">
            <v>-</v>
          </cell>
          <cell r="G146" t="str">
            <v>-</v>
          </cell>
          <cell r="H146">
            <v>0.99968294229549781</v>
          </cell>
          <cell r="I146" t="str">
            <v>-</v>
          </cell>
          <cell r="J146" t="str">
            <v>-</v>
          </cell>
          <cell r="K146">
            <v>0.9</v>
          </cell>
        </row>
        <row r="147">
          <cell r="B147" t="str">
            <v>JOR</v>
          </cell>
          <cell r="C147">
            <v>0.1369601638123604</v>
          </cell>
          <cell r="D147">
            <v>0.13938835845490233</v>
          </cell>
          <cell r="E147">
            <v>0.13814961658080294</v>
          </cell>
          <cell r="F147">
            <v>0.65118737026527773</v>
          </cell>
          <cell r="G147">
            <v>0.67935286295684405</v>
          </cell>
          <cell r="H147">
            <v>0.66487346419305893</v>
          </cell>
          <cell r="I147">
            <v>0.28496906466092442</v>
          </cell>
          <cell r="J147">
            <v>0.3204381846635368</v>
          </cell>
          <cell r="K147">
            <v>0.30242444779889716</v>
          </cell>
        </row>
        <row r="148">
          <cell r="B148" t="str">
            <v>KWT</v>
          </cell>
          <cell r="C148" t="str">
            <v>-</v>
          </cell>
          <cell r="D148" t="str">
            <v>-</v>
          </cell>
          <cell r="E148" t="str">
            <v>-</v>
          </cell>
          <cell r="F148" t="str">
            <v>-</v>
          </cell>
          <cell r="G148" t="str">
            <v>-</v>
          </cell>
          <cell r="H148" t="str">
            <v>-</v>
          </cell>
          <cell r="I148" t="str">
            <v>-</v>
          </cell>
          <cell r="J148" t="str">
            <v>-</v>
          </cell>
          <cell r="K148" t="str">
            <v>-</v>
          </cell>
        </row>
        <row r="149">
          <cell r="B149" t="str">
            <v>LBN</v>
          </cell>
          <cell r="C149">
            <v>0.28058882857563772</v>
          </cell>
          <cell r="D149">
            <v>0.27257177908320945</v>
          </cell>
          <cell r="E149">
            <v>0.27666067496257596</v>
          </cell>
          <cell r="F149">
            <v>0.47095445574761408</v>
          </cell>
          <cell r="G149">
            <v>0.48296455746896277</v>
          </cell>
          <cell r="H149">
            <v>0.47681267001030442</v>
          </cell>
          <cell r="I149">
            <v>0.13024695338190728</v>
          </cell>
          <cell r="J149">
            <v>0.10608377659574468</v>
          </cell>
          <cell r="K149">
            <v>0.1183508461815444</v>
          </cell>
        </row>
        <row r="150">
          <cell r="B150" t="str">
            <v>LBY</v>
          </cell>
          <cell r="C150" t="str">
            <v>-</v>
          </cell>
          <cell r="D150" t="str">
            <v>-</v>
          </cell>
          <cell r="E150">
            <v>0</v>
          </cell>
          <cell r="F150" t="str">
            <v>-</v>
          </cell>
          <cell r="G150" t="str">
            <v>-</v>
          </cell>
          <cell r="H150">
            <v>2.1993514732835191E-2</v>
          </cell>
          <cell r="I150" t="str">
            <v>-</v>
          </cell>
          <cell r="J150" t="str">
            <v>-</v>
          </cell>
          <cell r="K150">
            <v>2.2001205545509342E-2</v>
          </cell>
        </row>
        <row r="151">
          <cell r="B151" t="str">
            <v>MRT</v>
          </cell>
          <cell r="C151">
            <v>8.5254237288135595E-2</v>
          </cell>
          <cell r="D151">
            <v>9.6774193548387094E-2</v>
          </cell>
          <cell r="E151">
            <v>9.1142596735437897E-2</v>
          </cell>
          <cell r="F151">
            <v>0.30961538461538463</v>
          </cell>
          <cell r="G151">
            <v>0.28865179437439381</v>
          </cell>
          <cell r="H151">
            <v>0.29891035165923724</v>
          </cell>
          <cell r="I151">
            <v>7.5288488601182105E-2</v>
          </cell>
          <cell r="J151">
            <v>5.3739539748953978E-2</v>
          </cell>
          <cell r="K151">
            <v>6.4118205232479325E-2</v>
          </cell>
        </row>
        <row r="152">
          <cell r="B152" t="str">
            <v>MAR</v>
          </cell>
          <cell r="C152">
            <v>0.40963855421686746</v>
          </cell>
          <cell r="D152">
            <v>0.39459459459459462</v>
          </cell>
          <cell r="E152">
            <v>0.40228873239436619</v>
          </cell>
          <cell r="F152">
            <v>0.8180300500834724</v>
          </cell>
          <cell r="G152">
            <v>0.74461028192371481</v>
          </cell>
          <cell r="H152">
            <v>0.78119800332778699</v>
          </cell>
          <cell r="I152">
            <v>0.40315315315315314</v>
          </cell>
          <cell r="J152">
            <v>0.50458715596330272</v>
          </cell>
          <cell r="K152">
            <v>0.4461738002594034</v>
          </cell>
        </row>
        <row r="153">
          <cell r="B153" t="str">
            <v>SYR</v>
          </cell>
          <cell r="C153" t="str">
            <v>-</v>
          </cell>
          <cell r="D153" t="str">
            <v>-</v>
          </cell>
          <cell r="E153" t="str">
            <v>-</v>
          </cell>
          <cell r="F153">
            <v>0.8064320388349514</v>
          </cell>
          <cell r="G153">
            <v>0.79774614472123373</v>
          </cell>
          <cell r="H153">
            <v>0.80203959208158371</v>
          </cell>
          <cell r="I153">
            <v>0.48376623376623379</v>
          </cell>
          <cell r="J153">
            <v>0.43810848400556329</v>
          </cell>
          <cell r="K153">
            <v>0.45917602996254681</v>
          </cell>
        </row>
        <row r="154">
          <cell r="B154" t="str">
            <v>TUN</v>
          </cell>
          <cell r="C154" t="str">
            <v>-</v>
          </cell>
          <cell r="D154" t="str">
            <v>-</v>
          </cell>
          <cell r="E154" t="str">
            <v>-</v>
          </cell>
          <cell r="F154" t="str">
            <v>-</v>
          </cell>
          <cell r="G154" t="str">
            <v>-</v>
          </cell>
          <cell r="H154">
            <v>0.37784522003034904</v>
          </cell>
          <cell r="I154" t="str">
            <v>-</v>
          </cell>
          <cell r="J154" t="str">
            <v>-</v>
          </cell>
          <cell r="K154">
            <v>0.1122754491017964</v>
          </cell>
        </row>
        <row r="155">
          <cell r="B155" t="str">
            <v>TUR</v>
          </cell>
          <cell r="C155">
            <v>0.34337942191904197</v>
          </cell>
          <cell r="D155">
            <v>0.34337473763892234</v>
          </cell>
          <cell r="E155">
            <v>0.34337711609630517</v>
          </cell>
          <cell r="F155">
            <v>0.75128177311554589</v>
          </cell>
          <cell r="G155">
            <v>0.75128323643175132</v>
          </cell>
          <cell r="H155">
            <v>0.75128249342587405</v>
          </cell>
          <cell r="I155">
            <v>0.63962894074827381</v>
          </cell>
          <cell r="J155">
            <v>0.63962580573920969</v>
          </cell>
          <cell r="K155">
            <v>0.63962739755810871</v>
          </cell>
        </row>
        <row r="156">
          <cell r="B156" t="str">
            <v>ARE</v>
          </cell>
          <cell r="C156" t="str">
            <v>-</v>
          </cell>
          <cell r="D156" t="str">
            <v>-</v>
          </cell>
          <cell r="E156" t="str">
            <v>-</v>
          </cell>
          <cell r="F156" t="str">
            <v>-</v>
          </cell>
          <cell r="G156" t="str">
            <v>-</v>
          </cell>
          <cell r="H156" t="str">
            <v>-</v>
          </cell>
          <cell r="I156" t="str">
            <v>-</v>
          </cell>
          <cell r="J156" t="str">
            <v>-</v>
          </cell>
          <cell r="K156" t="str">
            <v>-</v>
          </cell>
        </row>
        <row r="157">
          <cell r="B157" t="str">
            <v>YEM</v>
          </cell>
          <cell r="C157" t="str">
            <v>-</v>
          </cell>
          <cell r="D157" t="str">
            <v>-</v>
          </cell>
          <cell r="E157" t="str">
            <v>-</v>
          </cell>
          <cell r="F157">
            <v>0.73488745980707393</v>
          </cell>
          <cell r="G157">
            <v>0.71053511705685624</v>
          </cell>
          <cell r="H157">
            <v>0.72295081967213115</v>
          </cell>
          <cell r="I157">
            <v>0.28505747126436781</v>
          </cell>
          <cell r="J157">
            <v>0.28587257617728534</v>
          </cell>
          <cell r="K157">
            <v>0.28547249647390693</v>
          </cell>
        </row>
        <row r="158">
          <cell r="B158" t="str">
            <v>DZA</v>
          </cell>
          <cell r="C158" t="str">
            <v>-</v>
          </cell>
          <cell r="D158" t="str">
            <v>-</v>
          </cell>
          <cell r="E158" t="str">
            <v>-</v>
          </cell>
          <cell r="F158" t="str">
            <v>-</v>
          </cell>
          <cell r="G158" t="str">
            <v>-</v>
          </cell>
          <cell r="H158" t="str">
            <v>-</v>
          </cell>
          <cell r="I158" t="str">
            <v>-</v>
          </cell>
          <cell r="J158" t="str">
            <v>-</v>
          </cell>
          <cell r="K158" t="str">
            <v>-</v>
          </cell>
        </row>
        <row r="159">
          <cell r="B159" t="str">
            <v>EGY</v>
          </cell>
          <cell r="C159" t="str">
            <v>-</v>
          </cell>
          <cell r="D159" t="str">
            <v>-</v>
          </cell>
          <cell r="E159" t="str">
            <v>-</v>
          </cell>
          <cell r="F159" t="str">
            <v>-</v>
          </cell>
          <cell r="G159" t="str">
            <v>-</v>
          </cell>
          <cell r="H159" t="str">
            <v>-</v>
          </cell>
          <cell r="I159" t="str">
            <v>-</v>
          </cell>
          <cell r="J159" t="str">
            <v>-</v>
          </cell>
          <cell r="K159" t="str">
            <v>-</v>
          </cell>
        </row>
        <row r="160">
          <cell r="B160" t="str">
            <v>IRQ</v>
          </cell>
          <cell r="C160">
            <v>0.10281659546738108</v>
          </cell>
          <cell r="D160">
            <v>9.4523630907726933E-2</v>
          </cell>
          <cell r="E160">
            <v>9.8546042003231013E-2</v>
          </cell>
          <cell r="F160">
            <v>0.8243537086252718</v>
          </cell>
          <cell r="G160">
            <v>0.86510972417958532</v>
          </cell>
          <cell r="H160">
            <v>0.8443162487981658</v>
          </cell>
          <cell r="I160">
            <v>0.19970936267386341</v>
          </cell>
          <cell r="J160">
            <v>0.26488162771348611</v>
          </cell>
          <cell r="K160">
            <v>0.23084706562590343</v>
          </cell>
        </row>
        <row r="161">
          <cell r="B161" t="str">
            <v>ISR</v>
          </cell>
          <cell r="C161" t="str">
            <v>-</v>
          </cell>
          <cell r="D161" t="str">
            <v>-</v>
          </cell>
          <cell r="E161" t="str">
            <v>-</v>
          </cell>
          <cell r="F161" t="str">
            <v>-</v>
          </cell>
          <cell r="G161" t="str">
            <v>-</v>
          </cell>
          <cell r="H161" t="str">
            <v>-</v>
          </cell>
          <cell r="I161" t="str">
            <v>-</v>
          </cell>
          <cell r="J161" t="str">
            <v>-</v>
          </cell>
          <cell r="K161" t="str">
            <v>-</v>
          </cell>
        </row>
        <row r="162">
          <cell r="B162" t="str">
            <v>JOR</v>
          </cell>
          <cell r="C162" t="str">
            <v>-</v>
          </cell>
          <cell r="D162" t="str">
            <v>-</v>
          </cell>
          <cell r="E162" t="str">
            <v>-</v>
          </cell>
          <cell r="F162" t="str">
            <v>-</v>
          </cell>
          <cell r="G162" t="str">
            <v>-</v>
          </cell>
          <cell r="H162" t="str">
            <v>-</v>
          </cell>
          <cell r="I162" t="str">
            <v>-</v>
          </cell>
          <cell r="J162" t="str">
            <v>-</v>
          </cell>
          <cell r="K162" t="str">
            <v>-</v>
          </cell>
        </row>
        <row r="163">
          <cell r="B163" t="str">
            <v>KWT</v>
          </cell>
          <cell r="C163" t="str">
            <v>-</v>
          </cell>
          <cell r="D163" t="str">
            <v>-</v>
          </cell>
          <cell r="E163" t="str">
            <v>-</v>
          </cell>
          <cell r="F163" t="str">
            <v>-</v>
          </cell>
          <cell r="G163" t="str">
            <v>-</v>
          </cell>
          <cell r="H163" t="str">
            <v>-</v>
          </cell>
          <cell r="I163" t="str">
            <v>-</v>
          </cell>
          <cell r="J163" t="str">
            <v>-</v>
          </cell>
          <cell r="K163" t="str">
            <v>-</v>
          </cell>
        </row>
        <row r="164">
          <cell r="B164" t="str">
            <v>LBN</v>
          </cell>
          <cell r="C164" t="str">
            <v>-</v>
          </cell>
          <cell r="D164" t="str">
            <v>-</v>
          </cell>
          <cell r="E164" t="str">
            <v>-</v>
          </cell>
          <cell r="F164" t="str">
            <v>-</v>
          </cell>
          <cell r="G164" t="str">
            <v>-</v>
          </cell>
          <cell r="H164" t="str">
            <v>-</v>
          </cell>
          <cell r="I164" t="str">
            <v>-</v>
          </cell>
          <cell r="J164" t="str">
            <v>-</v>
          </cell>
          <cell r="K164" t="str">
            <v>-</v>
          </cell>
        </row>
        <row r="165">
          <cell r="B165" t="str">
            <v>LBY</v>
          </cell>
          <cell r="C165" t="str">
            <v>-</v>
          </cell>
          <cell r="D165" t="str">
            <v>-</v>
          </cell>
          <cell r="E165" t="str">
            <v>-</v>
          </cell>
          <cell r="F165" t="str">
            <v>-</v>
          </cell>
          <cell r="G165" t="str">
            <v>-</v>
          </cell>
          <cell r="H165" t="str">
            <v>-</v>
          </cell>
          <cell r="I165" t="str">
            <v>-</v>
          </cell>
          <cell r="J165" t="str">
            <v>-</v>
          </cell>
          <cell r="K165" t="str">
            <v>-</v>
          </cell>
        </row>
        <row r="166">
          <cell r="B166" t="str">
            <v>MRT</v>
          </cell>
          <cell r="C166" t="str">
            <v>-</v>
          </cell>
          <cell r="D166" t="str">
            <v>-</v>
          </cell>
          <cell r="E166" t="str">
            <v>-</v>
          </cell>
          <cell r="F166" t="str">
            <v>-</v>
          </cell>
          <cell r="G166" t="str">
            <v>-</v>
          </cell>
          <cell r="H166" t="str">
            <v>-</v>
          </cell>
          <cell r="I166" t="str">
            <v>-</v>
          </cell>
          <cell r="J166" t="str">
            <v>-</v>
          </cell>
          <cell r="K166" t="str">
            <v>-</v>
          </cell>
        </row>
        <row r="167">
          <cell r="B167" t="str">
            <v>MAR</v>
          </cell>
          <cell r="C167" t="str">
            <v>-</v>
          </cell>
          <cell r="D167" t="str">
            <v>-</v>
          </cell>
          <cell r="E167" t="str">
            <v>-</v>
          </cell>
          <cell r="F167" t="str">
            <v>-</v>
          </cell>
          <cell r="G167" t="str">
            <v>-</v>
          </cell>
          <cell r="H167" t="str">
            <v>-</v>
          </cell>
          <cell r="I167" t="str">
            <v>-</v>
          </cell>
          <cell r="J167" t="str">
            <v>-</v>
          </cell>
          <cell r="K167" t="str">
            <v>-</v>
          </cell>
        </row>
        <row r="168">
          <cell r="B168" t="str">
            <v>SYR</v>
          </cell>
          <cell r="C168" t="str">
            <v>-</v>
          </cell>
          <cell r="D168" t="str">
            <v>-</v>
          </cell>
          <cell r="E168" t="str">
            <v>-</v>
          </cell>
          <cell r="F168" t="str">
            <v>-</v>
          </cell>
          <cell r="G168" t="str">
            <v>-</v>
          </cell>
          <cell r="H168" t="str">
            <v>-</v>
          </cell>
          <cell r="I168" t="str">
            <v>-</v>
          </cell>
          <cell r="J168" t="str">
            <v>-</v>
          </cell>
          <cell r="K168" t="str">
            <v>-</v>
          </cell>
        </row>
        <row r="169">
          <cell r="B169" t="str">
            <v>TUN</v>
          </cell>
          <cell r="C169" t="str">
            <v>-</v>
          </cell>
          <cell r="D169" t="str">
            <v>-</v>
          </cell>
          <cell r="E169" t="str">
            <v>-</v>
          </cell>
          <cell r="F169" t="str">
            <v>-</v>
          </cell>
          <cell r="G169" t="str">
            <v>-</v>
          </cell>
          <cell r="H169" t="str">
            <v>-</v>
          </cell>
          <cell r="I169" t="str">
            <v>-</v>
          </cell>
          <cell r="J169" t="str">
            <v>-</v>
          </cell>
          <cell r="K169" t="str">
            <v>-</v>
          </cell>
        </row>
        <row r="170">
          <cell r="B170" t="str">
            <v>TUR</v>
          </cell>
          <cell r="C170" t="str">
            <v>-</v>
          </cell>
          <cell r="D170" t="str">
            <v>-</v>
          </cell>
          <cell r="E170" t="str">
            <v>-</v>
          </cell>
          <cell r="F170" t="str">
            <v>-</v>
          </cell>
          <cell r="G170" t="str">
            <v>-</v>
          </cell>
          <cell r="H170" t="str">
            <v>-</v>
          </cell>
          <cell r="I170" t="str">
            <v>-</v>
          </cell>
          <cell r="J170" t="str">
            <v>-</v>
          </cell>
          <cell r="K170" t="str">
            <v>-</v>
          </cell>
        </row>
        <row r="171">
          <cell r="B171" t="str">
            <v>ARE</v>
          </cell>
          <cell r="C171" t="str">
            <v>-</v>
          </cell>
          <cell r="D171" t="str">
            <v>-</v>
          </cell>
          <cell r="E171" t="str">
            <v>-</v>
          </cell>
          <cell r="F171" t="str">
            <v>-</v>
          </cell>
          <cell r="G171" t="str">
            <v>-</v>
          </cell>
          <cell r="H171" t="str">
            <v>-</v>
          </cell>
          <cell r="I171" t="str">
            <v>-</v>
          </cell>
          <cell r="J171" t="str">
            <v>-</v>
          </cell>
          <cell r="K171" t="str">
            <v>-</v>
          </cell>
        </row>
        <row r="172">
          <cell r="B172" t="str">
            <v>YEM</v>
          </cell>
          <cell r="C172" t="str">
            <v>-</v>
          </cell>
          <cell r="D172" t="str">
            <v>-</v>
          </cell>
          <cell r="E172" t="str">
            <v>-</v>
          </cell>
          <cell r="F172" t="str">
            <v>-</v>
          </cell>
          <cell r="G172" t="str">
            <v>-</v>
          </cell>
          <cell r="H172" t="str">
            <v>-</v>
          </cell>
          <cell r="I172" t="str">
            <v>-</v>
          </cell>
          <cell r="J172" t="str">
            <v>-</v>
          </cell>
          <cell r="K172" t="str">
            <v>-</v>
          </cell>
        </row>
        <row r="173">
          <cell r="B173" t="str">
            <v>AGO</v>
          </cell>
          <cell r="C173">
            <v>0.6806451612903226</v>
          </cell>
          <cell r="D173">
            <v>0.76094276094276092</v>
          </cell>
          <cell r="E173">
            <v>0.71993410214168041</v>
          </cell>
          <cell r="F173">
            <v>1.0865512649800266</v>
          </cell>
          <cell r="G173">
            <v>1.0694444444444444</v>
          </cell>
          <cell r="H173">
            <v>1.0777705767984447</v>
          </cell>
          <cell r="I173">
            <v>0.42372881355932202</v>
          </cell>
          <cell r="J173">
            <v>0.14221218961625282</v>
          </cell>
          <cell r="K173">
            <v>0.28743169398907104</v>
          </cell>
        </row>
        <row r="174">
          <cell r="B174" t="str">
            <v>BWA</v>
          </cell>
          <cell r="C174">
            <v>0.8666666666666667</v>
          </cell>
          <cell r="D174">
            <v>0.72222222222222221</v>
          </cell>
          <cell r="E174">
            <v>0.78787878787878785</v>
          </cell>
          <cell r="F174">
            <v>1</v>
          </cell>
          <cell r="G174">
            <v>1</v>
          </cell>
          <cell r="H174">
            <v>1</v>
          </cell>
          <cell r="I174">
            <v>0.7567567567567568</v>
          </cell>
          <cell r="J174">
            <v>0.91111111111111109</v>
          </cell>
          <cell r="K174">
            <v>0.84146341463414631</v>
          </cell>
        </row>
        <row r="175">
          <cell r="B175" t="str">
            <v>COM</v>
          </cell>
          <cell r="C175" t="str">
            <v>-</v>
          </cell>
          <cell r="D175" t="str">
            <v>-</v>
          </cell>
          <cell r="E175" t="str">
            <v>-</v>
          </cell>
          <cell r="F175" t="str">
            <v>-</v>
          </cell>
          <cell r="G175" t="str">
            <v>-</v>
          </cell>
          <cell r="I175" t="str">
            <v>-</v>
          </cell>
          <cell r="J175" t="str">
            <v>-</v>
          </cell>
        </row>
        <row r="176">
          <cell r="B176" t="str">
            <v>COD</v>
          </cell>
          <cell r="C176" t="str">
            <v>-</v>
          </cell>
          <cell r="D176" t="str">
            <v>-</v>
          </cell>
          <cell r="E176" t="str">
            <v>-</v>
          </cell>
          <cell r="F176">
            <v>0.53665764062739485</v>
          </cell>
          <cell r="G176">
            <v>0.48336584995059162</v>
          </cell>
          <cell r="H176">
            <v>0.50990294226145805</v>
          </cell>
          <cell r="I176">
            <v>0.33181370582442832</v>
          </cell>
          <cell r="J176">
            <v>0.27934076305949829</v>
          </cell>
          <cell r="K176">
            <v>0.30551613724848087</v>
          </cell>
        </row>
        <row r="177">
          <cell r="B177" t="str">
            <v>COG</v>
          </cell>
          <cell r="C177" t="str">
            <v>-</v>
          </cell>
          <cell r="D177" t="str">
            <v>-</v>
          </cell>
          <cell r="E177" t="str">
            <v>-</v>
          </cell>
          <cell r="F177" t="str">
            <v>-</v>
          </cell>
          <cell r="G177" t="str">
            <v>-</v>
          </cell>
          <cell r="H177" t="str">
            <v>-</v>
          </cell>
          <cell r="I177" t="str">
            <v>-</v>
          </cell>
          <cell r="J177" t="str">
            <v>-</v>
          </cell>
          <cell r="K177" t="str">
            <v>-</v>
          </cell>
        </row>
        <row r="178">
          <cell r="B178" t="str">
            <v>SWZ</v>
          </cell>
          <cell r="C178" t="str">
            <v>-</v>
          </cell>
          <cell r="D178" t="str">
            <v>-</v>
          </cell>
          <cell r="E178" t="str">
            <v>-</v>
          </cell>
          <cell r="F178" t="str">
            <v>-</v>
          </cell>
          <cell r="G178" t="str">
            <v>-</v>
          </cell>
          <cell r="H178" t="str">
            <v>-</v>
          </cell>
          <cell r="I178" t="str">
            <v>-</v>
          </cell>
          <cell r="J178" t="str">
            <v>-</v>
          </cell>
          <cell r="K178" t="str">
            <v>-</v>
          </cell>
        </row>
        <row r="179">
          <cell r="B179" t="str">
            <v>LSO</v>
          </cell>
          <cell r="C179" t="str">
            <v>-</v>
          </cell>
          <cell r="D179" t="str">
            <v>-</v>
          </cell>
          <cell r="E179" t="str">
            <v>-</v>
          </cell>
          <cell r="F179" t="str">
            <v>-</v>
          </cell>
          <cell r="G179" t="str">
            <v>-</v>
          </cell>
          <cell r="H179" t="str">
            <v>-</v>
          </cell>
          <cell r="I179" t="str">
            <v>-</v>
          </cell>
          <cell r="J179" t="str">
            <v>-</v>
          </cell>
          <cell r="K179" t="str">
            <v>-</v>
          </cell>
        </row>
        <row r="180">
          <cell r="B180" t="str">
            <v>MDG</v>
          </cell>
          <cell r="C180" t="str">
            <v>-</v>
          </cell>
          <cell r="D180" t="str">
            <v>-</v>
          </cell>
          <cell r="E180" t="str">
            <v>-</v>
          </cell>
          <cell r="F180" t="str">
            <v>-</v>
          </cell>
          <cell r="G180" t="str">
            <v>-</v>
          </cell>
          <cell r="H180">
            <v>0.69047619047619047</v>
          </cell>
          <cell r="I180" t="str">
            <v>-</v>
          </cell>
          <cell r="J180" t="str">
            <v>-</v>
          </cell>
          <cell r="K180">
            <v>0.42857142857142855</v>
          </cell>
        </row>
        <row r="181">
          <cell r="B181" t="str">
            <v>MWI</v>
          </cell>
          <cell r="C181">
            <v>0.5305816135084428</v>
          </cell>
          <cell r="D181">
            <v>0.56150341685649208</v>
          </cell>
          <cell r="E181">
            <v>0.54595206642762784</v>
          </cell>
          <cell r="F181">
            <v>0.40260407743703958</v>
          </cell>
          <cell r="G181">
            <v>0.38952282157676349</v>
          </cell>
          <cell r="H181">
            <v>0.39609327940796835</v>
          </cell>
          <cell r="I181">
            <v>0.16892153073057595</v>
          </cell>
          <cell r="J181">
            <v>0.13810741687979539</v>
          </cell>
          <cell r="K181">
            <v>0.1542671802148794</v>
          </cell>
        </row>
        <row r="182">
          <cell r="B182" t="str">
            <v>MUS</v>
          </cell>
          <cell r="C182" t="str">
            <v>-</v>
          </cell>
          <cell r="D182" t="str">
            <v>-</v>
          </cell>
          <cell r="E182" t="str">
            <v>-</v>
          </cell>
          <cell r="F182" t="str">
            <v>-</v>
          </cell>
          <cell r="G182" t="str">
            <v>-</v>
          </cell>
          <cell r="H182" t="str">
            <v>-</v>
          </cell>
          <cell r="I182" t="str">
            <v>-</v>
          </cell>
          <cell r="J182" t="str">
            <v>-</v>
          </cell>
          <cell r="K182" t="str">
            <v>-</v>
          </cell>
        </row>
        <row r="183">
          <cell r="B183" t="str">
            <v>MOZ</v>
          </cell>
          <cell r="C183">
            <v>8.4768211920529801E-2</v>
          </cell>
          <cell r="D183">
            <v>0.11217510259917921</v>
          </cell>
          <cell r="E183">
            <v>9.8250336473755043E-2</v>
          </cell>
          <cell r="F183">
            <v>0.52530429212043561</v>
          </cell>
          <cell r="G183">
            <v>0.53268608414239482</v>
          </cell>
          <cell r="H183">
            <v>0.52897617514488082</v>
          </cell>
          <cell r="I183">
            <v>0.33225545675020213</v>
          </cell>
          <cell r="J183">
            <v>0.25944584382871538</v>
          </cell>
          <cell r="K183">
            <v>0.29654036243822074</v>
          </cell>
        </row>
        <row r="184">
          <cell r="B184" t="str">
            <v>NAM</v>
          </cell>
          <cell r="C184" t="str">
            <v>-</v>
          </cell>
          <cell r="D184" t="str">
            <v>-</v>
          </cell>
          <cell r="E184" t="str">
            <v>-</v>
          </cell>
          <cell r="F184" t="str">
            <v>-</v>
          </cell>
          <cell r="G184" t="str">
            <v>-</v>
          </cell>
          <cell r="H184" t="str">
            <v>-</v>
          </cell>
          <cell r="I184" t="str">
            <v>-</v>
          </cell>
          <cell r="J184" t="str">
            <v>-</v>
          </cell>
          <cell r="K184" t="str">
            <v>-</v>
          </cell>
        </row>
        <row r="185">
          <cell r="B185" t="str">
            <v>SYC</v>
          </cell>
          <cell r="C185" t="str">
            <v>-</v>
          </cell>
          <cell r="D185" t="str">
            <v>-</v>
          </cell>
          <cell r="E185" t="str">
            <v>-</v>
          </cell>
          <cell r="F185" t="str">
            <v>-</v>
          </cell>
          <cell r="G185" t="str">
            <v>-</v>
          </cell>
          <cell r="H185" t="str">
            <v>-</v>
          </cell>
          <cell r="I185" t="str">
            <v>-</v>
          </cell>
          <cell r="J185" t="str">
            <v>-</v>
          </cell>
          <cell r="K185" t="str">
            <v>-</v>
          </cell>
        </row>
        <row r="186">
          <cell r="B186" t="str">
            <v>ZAF</v>
          </cell>
          <cell r="C186" t="str">
            <v>-</v>
          </cell>
          <cell r="D186" t="str">
            <v>-</v>
          </cell>
          <cell r="E186" t="str">
            <v>-</v>
          </cell>
          <cell r="F186" t="str">
            <v>-</v>
          </cell>
          <cell r="G186" t="str">
            <v>-</v>
          </cell>
          <cell r="H186">
            <v>0.95694975022039375</v>
          </cell>
          <cell r="I186" t="str">
            <v>-</v>
          </cell>
          <cell r="J186" t="str">
            <v>-</v>
          </cell>
          <cell r="K186">
            <v>0.89670437776684697</v>
          </cell>
        </row>
        <row r="187">
          <cell r="B187" t="str">
            <v>ZMB</v>
          </cell>
          <cell r="C187">
            <v>0.17498379779650033</v>
          </cell>
          <cell r="D187">
            <v>0.19431380932022232</v>
          </cell>
          <cell r="E187">
            <v>0.18469968840657569</v>
          </cell>
          <cell r="F187">
            <v>0.78612104357038803</v>
          </cell>
          <cell r="G187">
            <v>0.75065206051121547</v>
          </cell>
          <cell r="H187">
            <v>0.76825021354885337</v>
          </cell>
          <cell r="I187">
            <v>0.30027494108405339</v>
          </cell>
          <cell r="J187">
            <v>0.2944944944944945</v>
          </cell>
          <cell r="K187">
            <v>0.29741251115296918</v>
          </cell>
        </row>
        <row r="188">
          <cell r="B188" t="str">
            <v>ZWE</v>
          </cell>
          <cell r="C188">
            <v>0.72669491525423724</v>
          </cell>
          <cell r="D188">
            <v>0.71461716937354991</v>
          </cell>
          <cell r="E188">
            <v>0.72093023255813948</v>
          </cell>
          <cell r="F188">
            <v>0.75263852242744067</v>
          </cell>
          <cell r="G188">
            <v>0.68832807570977916</v>
          </cell>
          <cell r="H188">
            <v>0.71976781683327962</v>
          </cell>
          <cell r="I188">
            <v>0.23448831587429492</v>
          </cell>
          <cell r="J188">
            <v>0.25289403383793413</v>
          </cell>
          <cell r="K188">
            <v>0.24323181049069373</v>
          </cell>
        </row>
        <row r="189">
          <cell r="B189" t="str">
            <v>AGO</v>
          </cell>
          <cell r="C189">
            <v>0.84984025559105436</v>
          </cell>
          <cell r="D189">
            <v>0.77922077922077926</v>
          </cell>
          <cell r="E189">
            <v>0.81481481481481477</v>
          </cell>
          <cell r="F189">
            <v>0.9688249400479616</v>
          </cell>
          <cell r="G189">
            <v>0.79534313725490191</v>
          </cell>
          <cell r="H189">
            <v>0.88303030303030305</v>
          </cell>
          <cell r="I189">
            <v>8.723404255319149E-2</v>
          </cell>
          <cell r="J189">
            <v>5.6862745098039215E-2</v>
          </cell>
          <cell r="K189">
            <v>7.1428571428571425E-2</v>
          </cell>
        </row>
        <row r="190">
          <cell r="B190" t="str">
            <v>BWA</v>
          </cell>
          <cell r="C190">
            <v>0.8666666666666667</v>
          </cell>
          <cell r="D190">
            <v>0.90476190476190477</v>
          </cell>
          <cell r="E190">
            <v>0.88505747126436785</v>
          </cell>
          <cell r="F190">
            <v>0.91860465116279066</v>
          </cell>
          <cell r="G190">
            <v>0.9726027397260274</v>
          </cell>
          <cell r="H190">
            <v>0.94339622641509435</v>
          </cell>
          <cell r="I190">
            <v>0.71794871794871795</v>
          </cell>
          <cell r="J190">
            <v>0.71698113207547165</v>
          </cell>
          <cell r="K190">
            <v>0.71739130434782605</v>
          </cell>
        </row>
        <row r="191">
          <cell r="B191" t="str">
            <v>COM</v>
          </cell>
          <cell r="C191" t="str">
            <v>-</v>
          </cell>
          <cell r="D191" t="str">
            <v>-</v>
          </cell>
          <cell r="E191" t="str">
            <v>-</v>
          </cell>
          <cell r="F191" t="str">
            <v>-</v>
          </cell>
          <cell r="G191" t="str">
            <v>-</v>
          </cell>
          <cell r="H191" t="str">
            <v>-</v>
          </cell>
          <cell r="I191" t="str">
            <v>-</v>
          </cell>
          <cell r="J191" t="str">
            <v>-</v>
          </cell>
          <cell r="K191" t="str">
            <v>-</v>
          </cell>
        </row>
        <row r="192">
          <cell r="B192" t="str">
            <v>COD</v>
          </cell>
          <cell r="C192">
            <v>0.17903645833333334</v>
          </cell>
          <cell r="D192">
            <v>0.21103827447663354</v>
          </cell>
          <cell r="E192">
            <v>0.19524472528649459</v>
          </cell>
          <cell r="F192">
            <v>0.34515753272686933</v>
          </cell>
          <cell r="G192">
            <v>0.3198745805599868</v>
          </cell>
          <cell r="H192">
            <v>0.33246333581904053</v>
          </cell>
          <cell r="I192">
            <v>7.8448408033934686E-2</v>
          </cell>
          <cell r="J192">
            <v>6.9184320949749259E-2</v>
          </cell>
          <cell r="K192">
            <v>7.3819325474954609E-2</v>
          </cell>
        </row>
        <row r="193">
          <cell r="B193" t="str">
            <v>COG</v>
          </cell>
          <cell r="C193">
            <v>0.71182634730538918</v>
          </cell>
          <cell r="D193">
            <v>0.75875047045540078</v>
          </cell>
          <cell r="E193">
            <v>0.73522236817414144</v>
          </cell>
          <cell r="F193">
            <v>0.42677326075863242</v>
          </cell>
          <cell r="G193">
            <v>0.40827004219409285</v>
          </cell>
          <cell r="H193">
            <v>0.41748559810233821</v>
          </cell>
          <cell r="I193">
            <v>3.2648870636550309E-2</v>
          </cell>
          <cell r="J193">
            <v>1.2791878172588832E-2</v>
          </cell>
          <cell r="K193">
            <v>2.2664624808575805E-2</v>
          </cell>
        </row>
        <row r="194">
          <cell r="B194" t="str">
            <v>SWZ</v>
          </cell>
          <cell r="C194" t="str">
            <v>-</v>
          </cell>
          <cell r="D194" t="str">
            <v>-</v>
          </cell>
          <cell r="E194" t="str">
            <v>-</v>
          </cell>
          <cell r="F194" t="str">
            <v>-</v>
          </cell>
          <cell r="G194" t="str">
            <v>-</v>
          </cell>
          <cell r="H194" t="str">
            <v>-</v>
          </cell>
          <cell r="I194" t="str">
            <v>-</v>
          </cell>
          <cell r="J194" t="str">
            <v>-</v>
          </cell>
          <cell r="K194" t="str">
            <v>-</v>
          </cell>
        </row>
        <row r="195">
          <cell r="B195" t="str">
            <v>LSO</v>
          </cell>
          <cell r="C195" t="str">
            <v>-</v>
          </cell>
          <cell r="D195" t="str">
            <v>-</v>
          </cell>
          <cell r="E195" t="str">
            <v>-</v>
          </cell>
          <cell r="F195" t="str">
            <v>-</v>
          </cell>
          <cell r="G195" t="str">
            <v>-</v>
          </cell>
          <cell r="H195" t="str">
            <v>-</v>
          </cell>
          <cell r="I195" t="str">
            <v>-</v>
          </cell>
          <cell r="J195" t="str">
            <v>-</v>
          </cell>
          <cell r="K195" t="str">
            <v>-</v>
          </cell>
        </row>
        <row r="196">
          <cell r="B196" t="str">
            <v>MDG</v>
          </cell>
          <cell r="C196" t="str">
            <v>-</v>
          </cell>
          <cell r="D196" t="str">
            <v>-</v>
          </cell>
          <cell r="E196" t="str">
            <v>-</v>
          </cell>
          <cell r="F196" t="str">
            <v>-</v>
          </cell>
          <cell r="G196" t="str">
            <v>-</v>
          </cell>
          <cell r="H196" t="str">
            <v>-</v>
          </cell>
          <cell r="I196" t="str">
            <v>-</v>
          </cell>
          <cell r="J196" t="str">
            <v>-</v>
          </cell>
          <cell r="K196" t="str">
            <v>-</v>
          </cell>
        </row>
        <row r="197">
          <cell r="B197" t="str">
            <v>MWI</v>
          </cell>
          <cell r="C197">
            <v>0.50020449897750507</v>
          </cell>
          <cell r="D197">
            <v>0.50954896383583914</v>
          </cell>
          <cell r="E197">
            <v>0.50489196901752953</v>
          </cell>
          <cell r="F197">
            <v>0.76466447677146876</v>
          </cell>
          <cell r="G197">
            <v>0.71318192460782015</v>
          </cell>
          <cell r="H197">
            <v>0.73889605062697761</v>
          </cell>
          <cell r="I197">
            <v>0.18612071257644244</v>
          </cell>
          <cell r="J197">
            <v>0.17590431738623105</v>
          </cell>
          <cell r="K197">
            <v>0.18124913061621922</v>
          </cell>
        </row>
        <row r="198">
          <cell r="B198" t="str">
            <v>MUS</v>
          </cell>
          <cell r="C198" t="str">
            <v>-</v>
          </cell>
          <cell r="D198" t="str">
            <v>-</v>
          </cell>
          <cell r="E198" t="str">
            <v>-</v>
          </cell>
          <cell r="F198" t="str">
            <v>-</v>
          </cell>
          <cell r="G198" t="str">
            <v>-</v>
          </cell>
          <cell r="H198" t="str">
            <v>-</v>
          </cell>
          <cell r="I198" t="str">
            <v>-</v>
          </cell>
          <cell r="J198" t="str">
            <v>-</v>
          </cell>
          <cell r="K198" t="str">
            <v>-</v>
          </cell>
        </row>
        <row r="199">
          <cell r="B199" t="str">
            <v>MOZ</v>
          </cell>
          <cell r="C199">
            <v>9.8290598290598288E-2</v>
          </cell>
          <cell r="D199">
            <v>0.11297071129707113</v>
          </cell>
          <cell r="E199">
            <v>0.10570824524312897</v>
          </cell>
          <cell r="F199">
            <v>0.55853314527503528</v>
          </cell>
          <cell r="G199">
            <v>0.55595667870036103</v>
          </cell>
          <cell r="H199">
            <v>0.55726007848733505</v>
          </cell>
          <cell r="I199">
            <v>0.31396438612933458</v>
          </cell>
          <cell r="J199">
            <v>0.29394812680115273</v>
          </cell>
          <cell r="K199">
            <v>0.3040796963946869</v>
          </cell>
        </row>
        <row r="200">
          <cell r="B200" t="str">
            <v>NAM</v>
          </cell>
          <cell r="C200">
            <v>0.49019607843137253</v>
          </cell>
          <cell r="D200">
            <v>0.59183673469387754</v>
          </cell>
          <cell r="E200">
            <v>0.54</v>
          </cell>
          <cell r="F200">
            <v>0.87437185929648242</v>
          </cell>
          <cell r="G200">
            <v>0.86092715231788075</v>
          </cell>
          <cell r="H200">
            <v>0.86761032472939215</v>
          </cell>
          <cell r="I200">
            <v>0.73652694610778446</v>
          </cell>
          <cell r="J200">
            <v>0.66765578635014833</v>
          </cell>
          <cell r="K200">
            <v>0.70193740685543959</v>
          </cell>
        </row>
        <row r="201">
          <cell r="B201" t="str">
            <v>SYC</v>
          </cell>
          <cell r="C201" t="str">
            <v>-</v>
          </cell>
          <cell r="D201" t="str">
            <v>-</v>
          </cell>
          <cell r="E201" t="str">
            <v>-</v>
          </cell>
          <cell r="F201" t="str">
            <v>-</v>
          </cell>
          <cell r="G201" t="str">
            <v>-</v>
          </cell>
          <cell r="H201" t="str">
            <v>-</v>
          </cell>
          <cell r="I201" t="str">
            <v>-</v>
          </cell>
          <cell r="J201" t="str">
            <v>-</v>
          </cell>
          <cell r="K201" t="str">
            <v>-</v>
          </cell>
        </row>
        <row r="202">
          <cell r="B202" t="str">
            <v>ZAF</v>
          </cell>
          <cell r="C202" t="str">
            <v>-</v>
          </cell>
          <cell r="D202" t="str">
            <v>-</v>
          </cell>
          <cell r="E202" t="str">
            <v>-</v>
          </cell>
          <cell r="F202" t="str">
            <v>-</v>
          </cell>
          <cell r="G202" t="str">
            <v>-</v>
          </cell>
          <cell r="H202" t="str">
            <v>-</v>
          </cell>
          <cell r="I202" t="str">
            <v>-</v>
          </cell>
          <cell r="J202" t="str">
            <v>-</v>
          </cell>
          <cell r="K202" t="str">
            <v>-</v>
          </cell>
        </row>
        <row r="203">
          <cell r="B203" t="str">
            <v>ZMB</v>
          </cell>
          <cell r="C203">
            <v>0.15405405405405406</v>
          </cell>
          <cell r="D203">
            <v>0.14486067540136557</v>
          </cell>
          <cell r="E203">
            <v>0.14935371261439759</v>
          </cell>
          <cell r="F203">
            <v>0.76416734268165487</v>
          </cell>
          <cell r="G203">
            <v>0.65451609182143267</v>
          </cell>
          <cell r="H203">
            <v>0.70921493814313796</v>
          </cell>
          <cell r="I203">
            <v>0.40726709144136386</v>
          </cell>
          <cell r="J203">
            <v>0.41151736745886652</v>
          </cell>
          <cell r="K203">
            <v>0.40932872217788419</v>
          </cell>
        </row>
        <row r="204">
          <cell r="B204" t="str">
            <v>ZWE</v>
          </cell>
          <cell r="C204">
            <v>0.61769911504424779</v>
          </cell>
          <cell r="D204">
            <v>0.56946826758147517</v>
          </cell>
          <cell r="E204">
            <v>0.59320557491289194</v>
          </cell>
          <cell r="F204">
            <v>0.56639566395663954</v>
          </cell>
          <cell r="G204">
            <v>0.56928135274776892</v>
          </cell>
          <cell r="H204">
            <v>0.5678102693990329</v>
          </cell>
          <cell r="I204">
            <v>0.32167832167832167</v>
          </cell>
          <cell r="J204">
            <v>0.29707792207792205</v>
          </cell>
          <cell r="K204">
            <v>0.30964668519253674</v>
          </cell>
        </row>
        <row r="205">
          <cell r="B205" t="str">
            <v>BEN</v>
          </cell>
          <cell r="C205" t="str">
            <v>-</v>
          </cell>
          <cell r="D205" t="str">
            <v>-</v>
          </cell>
          <cell r="E205" t="str">
            <v>-</v>
          </cell>
          <cell r="F205">
            <v>1</v>
          </cell>
          <cell r="G205">
            <v>1</v>
          </cell>
          <cell r="H205">
            <v>1</v>
          </cell>
          <cell r="I205">
            <v>1</v>
          </cell>
          <cell r="J205">
            <v>1</v>
          </cell>
          <cell r="K205">
            <v>1</v>
          </cell>
        </row>
        <row r="206">
          <cell r="B206" t="str">
            <v>BFA</v>
          </cell>
          <cell r="C206">
            <v>0.1643730886850153</v>
          </cell>
          <cell r="D206">
            <v>0.14632297194844579</v>
          </cell>
          <cell r="E206">
            <v>0.15531023981728206</v>
          </cell>
          <cell r="F206">
            <v>0.37153001936733376</v>
          </cell>
          <cell r="G206">
            <v>0.34452510586811858</v>
          </cell>
          <cell r="H206">
            <v>0.35758900687070583</v>
          </cell>
          <cell r="I206">
            <v>0.13219284603421461</v>
          </cell>
          <cell r="J206">
            <v>0.12693375644585481</v>
          </cell>
          <cell r="K206">
            <v>0.12958963282937366</v>
          </cell>
        </row>
        <row r="207">
          <cell r="B207" t="str">
            <v>CMR</v>
          </cell>
          <cell r="C207">
            <v>5.5237783951626082E-2</v>
          </cell>
          <cell r="D207">
            <v>5.7226871748473199E-2</v>
          </cell>
          <cell r="E207">
            <v>5.6213756555034543E-2</v>
          </cell>
          <cell r="F207">
            <v>0.5237734970610487</v>
          </cell>
          <cell r="G207">
            <v>0.41173956957501362</v>
          </cell>
          <cell r="H207">
            <v>0.46779187250686671</v>
          </cell>
          <cell r="I207">
            <v>5.5439556483548133E-2</v>
          </cell>
          <cell r="J207">
            <v>4.3924238214318789E-2</v>
          </cell>
          <cell r="K207">
            <v>4.9578693064639683E-2</v>
          </cell>
        </row>
        <row r="208">
          <cell r="B208" t="str">
            <v>CPV</v>
          </cell>
          <cell r="C208" t="str">
            <v>-</v>
          </cell>
          <cell r="D208" t="str">
            <v>-</v>
          </cell>
          <cell r="E208" t="str">
            <v>-</v>
          </cell>
          <cell r="F208" t="str">
            <v>-</v>
          </cell>
          <cell r="G208" t="str">
            <v>-</v>
          </cell>
          <cell r="H208" t="str">
            <v>-</v>
          </cell>
          <cell r="I208" t="str">
            <v>-</v>
          </cell>
          <cell r="J208" t="str">
            <v>-</v>
          </cell>
          <cell r="K208" t="str">
            <v>-</v>
          </cell>
        </row>
        <row r="209">
          <cell r="B209" t="str">
            <v>CAF</v>
          </cell>
          <cell r="C209">
            <v>3.9473684210526314E-2</v>
          </cell>
          <cell r="D209">
            <v>3.2884902840059793E-2</v>
          </cell>
          <cell r="E209">
            <v>3.6215816703621583E-2</v>
          </cell>
          <cell r="F209">
            <v>0.41106128550074739</v>
          </cell>
          <cell r="G209">
            <v>0.38325991189427311</v>
          </cell>
          <cell r="H209">
            <v>0.39703703703703702</v>
          </cell>
          <cell r="I209">
            <v>0.2822085889570552</v>
          </cell>
          <cell r="J209">
            <v>0.32048192771084338</v>
          </cell>
          <cell r="K209">
            <v>0.30151975683890575</v>
          </cell>
        </row>
        <row r="210">
          <cell r="B210" t="str">
            <v>TCD</v>
          </cell>
          <cell r="C210">
            <v>0.12485516660229627</v>
          </cell>
          <cell r="D210">
            <v>0.12893013885891072</v>
          </cell>
          <cell r="E210">
            <v>0.1268679258693296</v>
          </cell>
          <cell r="F210">
            <v>0.72238922506343939</v>
          </cell>
          <cell r="G210">
            <v>0.70148787440934124</v>
          </cell>
          <cell r="H210">
            <v>0.71194018195306707</v>
          </cell>
          <cell r="I210">
            <v>0.20249141443228599</v>
          </cell>
          <cell r="J210">
            <v>0.25963405908208115</v>
          </cell>
          <cell r="K210">
            <v>0.23166938076746418</v>
          </cell>
        </row>
        <row r="211">
          <cell r="B211" t="str">
            <v>CIV</v>
          </cell>
          <cell r="F211">
            <v>0.189873417721519</v>
          </cell>
          <cell r="G211">
            <v>0.20597484276729561</v>
          </cell>
          <cell r="H211">
            <v>0.19794952681388012</v>
          </cell>
          <cell r="I211">
            <v>0.5112107623318386</v>
          </cell>
          <cell r="J211">
            <v>0.46875</v>
          </cell>
          <cell r="K211">
            <v>0.48993288590604028</v>
          </cell>
        </row>
        <row r="212">
          <cell r="B212" t="str">
            <v>GNQ</v>
          </cell>
          <cell r="C212" t="str">
            <v>-</v>
          </cell>
          <cell r="D212" t="str">
            <v>-</v>
          </cell>
          <cell r="E212" t="str">
            <v>-</v>
          </cell>
          <cell r="F212" t="str">
            <v>-</v>
          </cell>
          <cell r="G212" t="str">
            <v>-</v>
          </cell>
          <cell r="H212" t="str">
            <v>-</v>
          </cell>
          <cell r="I212" t="str">
            <v>-</v>
          </cell>
          <cell r="J212" t="str">
            <v>-</v>
          </cell>
          <cell r="K212" t="str">
            <v>-</v>
          </cell>
        </row>
        <row r="213">
          <cell r="B213" t="str">
            <v>GAB</v>
          </cell>
          <cell r="C213">
            <v>0.4</v>
          </cell>
          <cell r="D213">
            <v>0.5</v>
          </cell>
          <cell r="E213">
            <v>0.45454545454545453</v>
          </cell>
          <cell r="F213">
            <v>1</v>
          </cell>
          <cell r="G213">
            <v>0.77777777777777779</v>
          </cell>
          <cell r="H213">
            <v>0.92307692307692313</v>
          </cell>
          <cell r="I213">
            <v>1</v>
          </cell>
          <cell r="J213">
            <v>1</v>
          </cell>
          <cell r="K213">
            <v>1</v>
          </cell>
        </row>
        <row r="214">
          <cell r="B214" t="str">
            <v>GMB</v>
          </cell>
          <cell r="C214">
            <v>0.95588235294117652</v>
          </cell>
          <cell r="D214">
            <v>0.95161290322580649</v>
          </cell>
          <cell r="E214">
            <v>0.9538461538461539</v>
          </cell>
          <cell r="F214">
            <v>0.98712446351931327</v>
          </cell>
          <cell r="G214">
            <v>0.99136442141623493</v>
          </cell>
          <cell r="H214">
            <v>0.98947368421052628</v>
          </cell>
          <cell r="I214">
            <v>0.96756756756756757</v>
          </cell>
          <cell r="J214">
            <v>0.97647058823529409</v>
          </cell>
          <cell r="K214">
            <v>0.97232704402515724</v>
          </cell>
        </row>
        <row r="215">
          <cell r="B215" t="str">
            <v>GHA</v>
          </cell>
          <cell r="C215">
            <v>1</v>
          </cell>
          <cell r="D215">
            <v>1</v>
          </cell>
          <cell r="E215">
            <v>1</v>
          </cell>
          <cell r="F215">
            <v>0.99878640776699024</v>
          </cell>
          <cell r="G215">
            <v>1</v>
          </cell>
          <cell r="H215">
            <v>0.99937343358395991</v>
          </cell>
          <cell r="I215">
            <v>1</v>
          </cell>
          <cell r="J215">
            <v>1</v>
          </cell>
          <cell r="K215">
            <v>1</v>
          </cell>
        </row>
        <row r="216">
          <cell r="B216" t="str">
            <v>GIN</v>
          </cell>
          <cell r="C216" t="str">
            <v>-</v>
          </cell>
          <cell r="D216" t="str">
            <v>-</v>
          </cell>
          <cell r="E216" t="str">
            <v>-</v>
          </cell>
          <cell r="F216" t="str">
            <v>-</v>
          </cell>
          <cell r="G216" t="str">
            <v>-</v>
          </cell>
          <cell r="H216" t="str">
            <v>-</v>
          </cell>
          <cell r="I216" t="str">
            <v>-</v>
          </cell>
          <cell r="J216" t="str">
            <v>-</v>
          </cell>
          <cell r="K216" t="str">
            <v>-</v>
          </cell>
        </row>
        <row r="217">
          <cell r="B217" t="str">
            <v>GNB</v>
          </cell>
          <cell r="C217" t="str">
            <v>-</v>
          </cell>
          <cell r="D217" t="str">
            <v>-</v>
          </cell>
          <cell r="E217" t="str">
            <v>-</v>
          </cell>
          <cell r="F217" t="str">
            <v>-</v>
          </cell>
          <cell r="G217" t="str">
            <v>-</v>
          </cell>
          <cell r="H217" t="str">
            <v>-</v>
          </cell>
          <cell r="I217" t="str">
            <v>-</v>
          </cell>
          <cell r="J217" t="str">
            <v>-</v>
          </cell>
          <cell r="K217" t="str">
            <v>-</v>
          </cell>
        </row>
        <row r="218">
          <cell r="B218" t="str">
            <v>LBR</v>
          </cell>
          <cell r="C218">
            <v>0.32738095238095238</v>
          </cell>
          <cell r="D218">
            <v>0.32717190388170053</v>
          </cell>
          <cell r="E218">
            <v>0.32727272727272727</v>
          </cell>
          <cell r="F218">
            <v>0.68181818181818177</v>
          </cell>
          <cell r="G218">
            <v>0.70619946091644203</v>
          </cell>
          <cell r="H218">
            <v>0.69395973154362411</v>
          </cell>
          <cell r="I218">
            <v>0.10702341137123746</v>
          </cell>
          <cell r="J218">
            <v>0.150997150997151</v>
          </cell>
          <cell r="K218">
            <v>0.13076923076923078</v>
          </cell>
        </row>
        <row r="219">
          <cell r="B219" t="str">
            <v>MLI</v>
          </cell>
          <cell r="C219">
            <v>0.38782608695652177</v>
          </cell>
          <cell r="D219">
            <v>0.38049209138840068</v>
          </cell>
          <cell r="E219">
            <v>0.38417832167832167</v>
          </cell>
          <cell r="F219">
            <v>0.58006487761722203</v>
          </cell>
          <cell r="G219">
            <v>0.56481203007518799</v>
          </cell>
          <cell r="H219">
            <v>0.57251340083382962</v>
          </cell>
          <cell r="I219">
            <v>0.15022566086395875</v>
          </cell>
          <cell r="J219">
            <v>0.12099871959026888</v>
          </cell>
          <cell r="K219">
            <v>0.13556055252168325</v>
          </cell>
        </row>
        <row r="220">
          <cell r="B220" t="str">
            <v>NER</v>
          </cell>
          <cell r="C220">
            <v>0.26903602726387538</v>
          </cell>
          <cell r="D220">
            <v>0.2591205066452591</v>
          </cell>
          <cell r="E220">
            <v>0.2638610865415949</v>
          </cell>
          <cell r="F220">
            <v>0.3905446713908573</v>
          </cell>
          <cell r="G220">
            <v>0.32458773033852906</v>
          </cell>
          <cell r="H220">
            <v>0.35635299038059387</v>
          </cell>
          <cell r="I220">
            <v>2.4117140396210164E-2</v>
          </cell>
          <cell r="J220">
            <v>7.524866657056364E-3</v>
          </cell>
          <cell r="K220">
            <v>1.4742294911057536E-2</v>
          </cell>
        </row>
        <row r="221">
          <cell r="B221" t="str">
            <v>NGA</v>
          </cell>
          <cell r="C221">
            <v>0.59202239328201545</v>
          </cell>
          <cell r="D221">
            <v>0.68958031837916067</v>
          </cell>
          <cell r="E221">
            <v>0.63998577018854497</v>
          </cell>
          <cell r="F221">
            <v>0.44275534441805225</v>
          </cell>
          <cell r="G221">
            <v>0.43839642605219847</v>
          </cell>
          <cell r="H221">
            <v>0.44056481153255345</v>
          </cell>
          <cell r="I221">
            <v>0.35750838185989059</v>
          </cell>
          <cell r="J221">
            <v>0.3011373001483435</v>
          </cell>
          <cell r="K221">
            <v>0.3283620248849497</v>
          </cell>
        </row>
        <row r="222">
          <cell r="B222" t="str">
            <v>STP</v>
          </cell>
          <cell r="C222" t="str">
            <v>-</v>
          </cell>
          <cell r="D222" t="str">
            <v>-</v>
          </cell>
          <cell r="E222" t="str">
            <v>-</v>
          </cell>
          <cell r="F222" t="str">
            <v>-</v>
          </cell>
          <cell r="G222" t="str">
            <v>-</v>
          </cell>
          <cell r="H222" t="str">
            <v>-</v>
          </cell>
          <cell r="I222" t="str">
            <v>-</v>
          </cell>
          <cell r="J222" t="str">
            <v>-</v>
          </cell>
          <cell r="K222" t="str">
            <v>-</v>
          </cell>
        </row>
        <row r="223">
          <cell r="B223" t="str">
            <v>SEN</v>
          </cell>
          <cell r="C223">
            <v>5.9149722735674676E-2</v>
          </cell>
          <cell r="D223">
            <v>0.1336206896551724</v>
          </cell>
          <cell r="E223">
            <v>9.353233830845771E-2</v>
          </cell>
          <cell r="F223">
            <v>0.35586481113320079</v>
          </cell>
          <cell r="G223">
            <v>0.5316091954022989</v>
          </cell>
          <cell r="H223">
            <v>0.44536585365853659</v>
          </cell>
          <cell r="I223">
            <v>0.13401109057301294</v>
          </cell>
          <cell r="J223">
            <v>0.22239146991622238</v>
          </cell>
          <cell r="K223">
            <v>0.18246346555323592</v>
          </cell>
        </row>
        <row r="224">
          <cell r="B224" t="str">
            <v>SLE</v>
          </cell>
          <cell r="C224" t="str">
            <v>-</v>
          </cell>
          <cell r="D224" t="str">
            <v>-</v>
          </cell>
          <cell r="E224" t="str">
            <v>-</v>
          </cell>
          <cell r="F224" t="str">
            <v>-</v>
          </cell>
          <cell r="G224" t="str">
            <v>-</v>
          </cell>
          <cell r="H224" t="str">
            <v>-</v>
          </cell>
          <cell r="I224" t="str">
            <v>-</v>
          </cell>
          <cell r="J224" t="str">
            <v>-</v>
          </cell>
          <cell r="K224" t="str">
            <v>-</v>
          </cell>
        </row>
        <row r="225">
          <cell r="B225" t="str">
            <v>TGO</v>
          </cell>
          <cell r="C225">
            <v>0.65384615384615385</v>
          </cell>
          <cell r="D225">
            <v>0.6333333333333333</v>
          </cell>
          <cell r="E225">
            <v>0.6428571428571429</v>
          </cell>
          <cell r="F225">
            <v>0.16937119675456389</v>
          </cell>
          <cell r="G225">
            <v>0.15368421052631578</v>
          </cell>
          <cell r="H225">
            <v>0.16167355371900827</v>
          </cell>
          <cell r="I225">
            <v>7.3119777158774379E-2</v>
          </cell>
          <cell r="J225">
            <v>9.1093117408906882E-2</v>
          </cell>
          <cell r="K225">
            <v>8.2248115147361203E-2</v>
          </cell>
        </row>
        <row r="226">
          <cell r="B226" t="str">
            <v>BEN</v>
          </cell>
          <cell r="C226" t="str">
            <v>-</v>
          </cell>
          <cell r="D226" t="str">
            <v>-</v>
          </cell>
          <cell r="E226" t="str">
            <v>-</v>
          </cell>
          <cell r="F226">
            <v>1</v>
          </cell>
          <cell r="G226">
            <v>1</v>
          </cell>
          <cell r="H226">
            <v>1</v>
          </cell>
          <cell r="I226">
            <v>1</v>
          </cell>
          <cell r="J226">
            <v>1</v>
          </cell>
          <cell r="K226">
            <v>1</v>
          </cell>
        </row>
        <row r="227">
          <cell r="B227" t="str">
            <v>BFA</v>
          </cell>
          <cell r="C227">
            <v>0.1643730886850153</v>
          </cell>
          <cell r="D227">
            <v>0.14632297194844579</v>
          </cell>
          <cell r="E227">
            <v>0.15531023981728206</v>
          </cell>
          <cell r="F227">
            <v>0.37153001936733376</v>
          </cell>
          <cell r="G227">
            <v>0.34452510586811858</v>
          </cell>
          <cell r="H227">
            <v>0.35758900687070583</v>
          </cell>
          <cell r="I227">
            <v>0.13219284603421461</v>
          </cell>
          <cell r="J227">
            <v>0.12693375644585481</v>
          </cell>
          <cell r="K227">
            <v>0.12958963282937366</v>
          </cell>
        </row>
        <row r="228">
          <cell r="B228" t="str">
            <v>CMR</v>
          </cell>
          <cell r="C228">
            <v>5.5237783951626082E-2</v>
          </cell>
          <cell r="D228">
            <v>5.7226871748473199E-2</v>
          </cell>
          <cell r="E228">
            <v>5.6213756555034543E-2</v>
          </cell>
          <cell r="F228">
            <v>0.5237734970610487</v>
          </cell>
          <cell r="G228">
            <v>0.41173956957501362</v>
          </cell>
          <cell r="H228">
            <v>0.46779187250686671</v>
          </cell>
          <cell r="I228">
            <v>5.5439556483548133E-2</v>
          </cell>
          <cell r="J228">
            <v>4.3924238214318789E-2</v>
          </cell>
          <cell r="K228">
            <v>4.9578693064639683E-2</v>
          </cell>
        </row>
        <row r="229">
          <cell r="B229" t="str">
            <v>CPV</v>
          </cell>
          <cell r="C229" t="str">
            <v>-</v>
          </cell>
          <cell r="D229" t="str">
            <v>-</v>
          </cell>
          <cell r="E229" t="str">
            <v>-</v>
          </cell>
          <cell r="F229" t="str">
            <v>-</v>
          </cell>
          <cell r="G229" t="str">
            <v>-</v>
          </cell>
          <cell r="H229" t="str">
            <v>-</v>
          </cell>
          <cell r="I229" t="str">
            <v>-</v>
          </cell>
          <cell r="J229" t="str">
            <v>-</v>
          </cell>
          <cell r="K229" t="str">
            <v>-</v>
          </cell>
        </row>
        <row r="230">
          <cell r="B230" t="str">
            <v>CAF</v>
          </cell>
          <cell r="C230">
            <v>3.9473684210526314E-2</v>
          </cell>
          <cell r="D230">
            <v>3.2884902840059793E-2</v>
          </cell>
          <cell r="E230">
            <v>3.6215816703621583E-2</v>
          </cell>
          <cell r="F230">
            <v>0.41106128550074739</v>
          </cell>
          <cell r="G230">
            <v>0.38325991189427311</v>
          </cell>
          <cell r="H230">
            <v>0.39703703703703702</v>
          </cell>
          <cell r="I230">
            <v>0.2822085889570552</v>
          </cell>
          <cell r="J230">
            <v>0.32048192771084338</v>
          </cell>
          <cell r="K230">
            <v>0.30151975683890575</v>
          </cell>
        </row>
        <row r="231">
          <cell r="B231" t="str">
            <v>TCD</v>
          </cell>
          <cell r="C231">
            <v>0.12485516660229627</v>
          </cell>
          <cell r="D231">
            <v>0.12893013885891072</v>
          </cell>
          <cell r="E231">
            <v>0.1268679258693296</v>
          </cell>
          <cell r="F231">
            <v>0.72238922506343939</v>
          </cell>
          <cell r="G231">
            <v>0.70148787440934124</v>
          </cell>
          <cell r="H231">
            <v>0.71194018195306707</v>
          </cell>
          <cell r="I231">
            <v>0.20249141443228599</v>
          </cell>
          <cell r="J231">
            <v>0.25963405908208115</v>
          </cell>
          <cell r="K231">
            <v>0.23166938076746418</v>
          </cell>
        </row>
        <row r="232">
          <cell r="B232" t="str">
            <v>CIV</v>
          </cell>
          <cell r="F232">
            <v>0.189873417721519</v>
          </cell>
          <cell r="G232">
            <v>0.20597484276729561</v>
          </cell>
          <cell r="H232">
            <v>0.19794952681388012</v>
          </cell>
          <cell r="I232">
            <v>0.5112107623318386</v>
          </cell>
          <cell r="J232">
            <v>0.46875</v>
          </cell>
          <cell r="K232">
            <v>0.48993288590604028</v>
          </cell>
        </row>
        <row r="233">
          <cell r="B233" t="str">
            <v>GNQ</v>
          </cell>
          <cell r="C233" t="str">
            <v>-</v>
          </cell>
          <cell r="D233" t="str">
            <v>-</v>
          </cell>
          <cell r="E233" t="str">
            <v>-</v>
          </cell>
          <cell r="F233" t="str">
            <v>-</v>
          </cell>
          <cell r="G233" t="str">
            <v>-</v>
          </cell>
          <cell r="H233" t="str">
            <v>-</v>
          </cell>
          <cell r="I233" t="str">
            <v>-</v>
          </cell>
          <cell r="J233" t="str">
            <v>-</v>
          </cell>
          <cell r="K233" t="str">
            <v>-</v>
          </cell>
        </row>
        <row r="234">
          <cell r="B234" t="str">
            <v>GAB</v>
          </cell>
          <cell r="C234">
            <v>0.4</v>
          </cell>
          <cell r="D234">
            <v>0.5</v>
          </cell>
          <cell r="E234">
            <v>0.45454545454545453</v>
          </cell>
          <cell r="F234">
            <v>1</v>
          </cell>
          <cell r="G234">
            <v>0.77777777777777779</v>
          </cell>
          <cell r="H234">
            <v>0.92307692307692313</v>
          </cell>
          <cell r="I234">
            <v>1</v>
          </cell>
          <cell r="J234">
            <v>1</v>
          </cell>
          <cell r="K234">
            <v>1</v>
          </cell>
        </row>
        <row r="235">
          <cell r="B235" t="str">
            <v>GMB</v>
          </cell>
          <cell r="C235">
            <v>0.95588235294117652</v>
          </cell>
          <cell r="D235">
            <v>0.95161290322580649</v>
          </cell>
          <cell r="E235">
            <v>0.9538461538461539</v>
          </cell>
          <cell r="F235">
            <v>0.98712446351931327</v>
          </cell>
          <cell r="G235">
            <v>0.99136442141623493</v>
          </cell>
          <cell r="H235">
            <v>0.98947368421052628</v>
          </cell>
          <cell r="I235">
            <v>0.96756756756756757</v>
          </cell>
          <cell r="J235">
            <v>0.97647058823529409</v>
          </cell>
          <cell r="K235">
            <v>0.97232704402515724</v>
          </cell>
        </row>
        <row r="236">
          <cell r="B236" t="str">
            <v>GHA</v>
          </cell>
          <cell r="C236">
            <v>1</v>
          </cell>
          <cell r="D236">
            <v>1</v>
          </cell>
          <cell r="E236">
            <v>1</v>
          </cell>
          <cell r="F236">
            <v>0.99878640776699024</v>
          </cell>
          <cell r="G236">
            <v>1</v>
          </cell>
          <cell r="H236">
            <v>0.99937343358395991</v>
          </cell>
          <cell r="I236">
            <v>1</v>
          </cell>
          <cell r="J236">
            <v>1</v>
          </cell>
          <cell r="K236">
            <v>1</v>
          </cell>
        </row>
        <row r="237">
          <cell r="B237" t="str">
            <v>GIN</v>
          </cell>
          <cell r="C237" t="str">
            <v>-</v>
          </cell>
          <cell r="D237" t="str">
            <v>-</v>
          </cell>
          <cell r="E237" t="str">
            <v>-</v>
          </cell>
          <cell r="F237" t="str">
            <v>-</v>
          </cell>
          <cell r="G237" t="str">
            <v>-</v>
          </cell>
          <cell r="H237" t="str">
            <v>-</v>
          </cell>
          <cell r="I237" t="str">
            <v>-</v>
          </cell>
          <cell r="J237" t="str">
            <v>-</v>
          </cell>
          <cell r="K237" t="str">
            <v>-</v>
          </cell>
        </row>
        <row r="238">
          <cell r="B238" t="str">
            <v>GNB</v>
          </cell>
          <cell r="C238" t="str">
            <v>-</v>
          </cell>
          <cell r="D238" t="str">
            <v>-</v>
          </cell>
          <cell r="E238" t="str">
            <v>-</v>
          </cell>
          <cell r="F238" t="str">
            <v>-</v>
          </cell>
          <cell r="G238" t="str">
            <v>-</v>
          </cell>
          <cell r="H238" t="str">
            <v>-</v>
          </cell>
          <cell r="I238" t="str">
            <v>-</v>
          </cell>
          <cell r="J238" t="str">
            <v>-</v>
          </cell>
          <cell r="K238" t="str">
            <v>-</v>
          </cell>
        </row>
        <row r="239">
          <cell r="B239" t="str">
            <v>LBR</v>
          </cell>
          <cell r="C239">
            <v>0.32738095238095238</v>
          </cell>
          <cell r="D239">
            <v>0.32717190388170053</v>
          </cell>
          <cell r="E239">
            <v>0.32727272727272727</v>
          </cell>
          <cell r="F239">
            <v>0.68181818181818177</v>
          </cell>
          <cell r="G239">
            <v>0.70619946091644203</v>
          </cell>
          <cell r="H239">
            <v>0.69395973154362411</v>
          </cell>
          <cell r="I239">
            <v>0.10702341137123746</v>
          </cell>
          <cell r="J239">
            <v>0.150997150997151</v>
          </cell>
          <cell r="K239">
            <v>0.13076923076923078</v>
          </cell>
        </row>
        <row r="240">
          <cell r="B240" t="str">
            <v>MLI</v>
          </cell>
          <cell r="C240">
            <v>0.38782608695652177</v>
          </cell>
          <cell r="D240">
            <v>0.38049209138840068</v>
          </cell>
          <cell r="E240">
            <v>0.38417832167832167</v>
          </cell>
          <cell r="F240">
            <v>0.58006487761722203</v>
          </cell>
          <cell r="G240">
            <v>0.56481203007518799</v>
          </cell>
          <cell r="H240">
            <v>0.57251340083382962</v>
          </cell>
          <cell r="I240">
            <v>0.15022566086395875</v>
          </cell>
          <cell r="J240">
            <v>0.12099871959026888</v>
          </cell>
          <cell r="K240">
            <v>0.13556055252168325</v>
          </cell>
        </row>
        <row r="241">
          <cell r="B241" t="str">
            <v>NER</v>
          </cell>
          <cell r="C241">
            <v>0.26903602726387538</v>
          </cell>
          <cell r="D241">
            <v>0.2591205066452591</v>
          </cell>
          <cell r="E241">
            <v>0.2638610865415949</v>
          </cell>
          <cell r="F241">
            <v>0.3905446713908573</v>
          </cell>
          <cell r="G241">
            <v>0.32458773033852906</v>
          </cell>
          <cell r="H241">
            <v>0.35635299038059387</v>
          </cell>
          <cell r="I241">
            <v>2.4117140396210164E-2</v>
          </cell>
          <cell r="J241">
            <v>7.524866657056364E-3</v>
          </cell>
          <cell r="K241">
            <v>1.4742294911057536E-2</v>
          </cell>
        </row>
        <row r="242">
          <cell r="B242" t="str">
            <v>NGA</v>
          </cell>
          <cell r="C242">
            <v>0.59202239328201545</v>
          </cell>
          <cell r="D242">
            <v>0.68958031837916067</v>
          </cell>
          <cell r="E242">
            <v>0.63998577018854497</v>
          </cell>
          <cell r="F242">
            <v>0.44275534441805225</v>
          </cell>
          <cell r="G242">
            <v>0.43839642605219847</v>
          </cell>
          <cell r="H242">
            <v>0.44056481153255345</v>
          </cell>
          <cell r="I242">
            <v>0.35750838185989059</v>
          </cell>
          <cell r="J242">
            <v>0.3011373001483435</v>
          </cell>
          <cell r="K242">
            <v>0.3283620248849497</v>
          </cell>
        </row>
        <row r="243">
          <cell r="B243" t="str">
            <v>STP</v>
          </cell>
          <cell r="C243" t="str">
            <v>-</v>
          </cell>
          <cell r="D243" t="str">
            <v>-</v>
          </cell>
          <cell r="E243" t="str">
            <v>-</v>
          </cell>
          <cell r="F243" t="str">
            <v>-</v>
          </cell>
          <cell r="G243" t="str">
            <v>-</v>
          </cell>
          <cell r="H243" t="str">
            <v>-</v>
          </cell>
          <cell r="I243" t="str">
            <v>-</v>
          </cell>
          <cell r="J243" t="str">
            <v>-</v>
          </cell>
          <cell r="K243" t="str">
            <v>-</v>
          </cell>
        </row>
        <row r="244">
          <cell r="B244" t="str">
            <v>SEN</v>
          </cell>
          <cell r="C244">
            <v>5.9149722735674676E-2</v>
          </cell>
          <cell r="D244">
            <v>0.1336206896551724</v>
          </cell>
          <cell r="E244">
            <v>9.353233830845771E-2</v>
          </cell>
          <cell r="F244">
            <v>0.35586481113320079</v>
          </cell>
          <cell r="G244">
            <v>0.5316091954022989</v>
          </cell>
          <cell r="H244">
            <v>0.44536585365853659</v>
          </cell>
          <cell r="I244">
            <v>0.13401109057301294</v>
          </cell>
          <cell r="J244">
            <v>0.22239146991622238</v>
          </cell>
          <cell r="K244">
            <v>0.18246346555323592</v>
          </cell>
        </row>
        <row r="245">
          <cell r="B245" t="str">
            <v>SLE</v>
          </cell>
          <cell r="C245" t="str">
            <v>-</v>
          </cell>
          <cell r="D245" t="str">
            <v>-</v>
          </cell>
          <cell r="E245" t="str">
            <v>-</v>
          </cell>
          <cell r="F245" t="str">
            <v>-</v>
          </cell>
          <cell r="G245" t="str">
            <v>-</v>
          </cell>
          <cell r="H245" t="str">
            <v>-</v>
          </cell>
          <cell r="I245" t="str">
            <v>-</v>
          </cell>
          <cell r="J245" t="str">
            <v>-</v>
          </cell>
          <cell r="K245" t="str">
            <v>-</v>
          </cell>
        </row>
        <row r="246">
          <cell r="B246" t="str">
            <v>TGO</v>
          </cell>
          <cell r="C246">
            <v>0.65384615384615385</v>
          </cell>
          <cell r="D246">
            <v>0.6333333333333333</v>
          </cell>
          <cell r="E246">
            <v>0.6428571428571429</v>
          </cell>
          <cell r="F246">
            <v>0.16937119675456389</v>
          </cell>
          <cell r="G246">
            <v>0.15368421052631578</v>
          </cell>
          <cell r="H246">
            <v>0.16167355371900827</v>
          </cell>
          <cell r="I246">
            <v>7.3119777158774379E-2</v>
          </cell>
          <cell r="J246">
            <v>9.1093117408906882E-2</v>
          </cell>
          <cell r="K246">
            <v>8.2248115147361203E-2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Karishma Silva" id="{65A65A6C-0053-2C41-827A-A279B1E15640}" userId="522e540f8d13eeed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ishma Silva" refreshedDate="45245.731217361114" createdVersion="8" refreshedVersion="8" minRefreshableVersion="3" recordCount="72" xr:uid="{E5CF0BB8-7EC7-6C48-84D3-8ACA8D10EEA4}">
  <cacheSource type="worksheet">
    <worksheetSource ref="A1:G73" sheet="Refugee GER"/>
  </cacheSource>
  <cacheFields count="7">
    <cacheField name="country" numFmtId="0">
      <sharedItems/>
    </cacheField>
    <cacheField name="code" numFmtId="0">
      <sharedItems/>
    </cacheField>
    <cacheField name="region" numFmtId="0">
      <sharedItems/>
    </cacheField>
    <cacheField name="incomegroup" numFmtId="0">
      <sharedItems count="3">
        <s v="UPPER MIDDLE INCOME"/>
        <s v="LOWER MIDDLE INCOME"/>
        <s v="LOW INCOME"/>
      </sharedItems>
    </cacheField>
    <cacheField name="Pre-Primary_GER" numFmtId="9">
      <sharedItems containsMixedTypes="1" containsNumber="1" minValue="0" maxValue="1"/>
    </cacheField>
    <cacheField name="Primary_GER" numFmtId="9">
      <sharedItems containsMixedTypes="1" containsNumber="1" minValue="2.1993514732835191E-2" maxValue="1.4297181846850722"/>
    </cacheField>
    <cacheField name="Secondary_GER" numFmtId="9">
      <sharedItems containsMixedTypes="1" containsNumber="1" minValue="5.9634212194492053E-3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s v="TüRKIYE"/>
    <s v="TUR"/>
    <s v="EUROPE &amp; CENTRAL ASIA"/>
    <x v="0"/>
    <n v="0.34337711609630517"/>
    <n v="0.75128249342587405"/>
    <n v="0.63962739755810871"/>
  </r>
  <r>
    <s v="IRAN (ISLAMIC REPUBLIC OF)"/>
    <s v="IRN"/>
    <s v="MIDDLE EAST &amp; NORTH AFRICA"/>
    <x v="1"/>
    <s v="-"/>
    <n v="0.88"/>
    <n v="0.73"/>
  </r>
  <r>
    <s v="UGANDA"/>
    <s v="UGA"/>
    <s v="SUB-SAHARAN AFRICA"/>
    <x v="2"/>
    <n v="0.39496804155794413"/>
    <n v="0.86380566191410613"/>
    <n v="9.5342736785770751E-2"/>
  </r>
  <r>
    <s v="PAKISTAN"/>
    <s v="PAK"/>
    <s v="SOUTH ASIA"/>
    <x v="1"/>
    <n v="0.11217083436744989"/>
    <n v="0.10205199239764198"/>
    <n v="3.2401555795446534E-2"/>
  </r>
  <r>
    <s v="COLOMBIA"/>
    <s v="COL"/>
    <s v="LATIN AMERICA &amp; CARIBBEAN"/>
    <x v="0"/>
    <s v="-"/>
    <n v="0.53016468861574062"/>
    <n v="0.22220363004433227"/>
  </r>
  <r>
    <s v="PERU"/>
    <s v="PER"/>
    <s v="LATIN AMERICA &amp; CARIBBEAN"/>
    <x v="0"/>
    <s v="-"/>
    <n v="0.42018735148381381"/>
    <n v="0.30591970816063951"/>
  </r>
  <r>
    <s v="SUDAN"/>
    <s v="SDN"/>
    <s v="SUB-SAHARAN AFRICA"/>
    <x v="2"/>
    <n v="3.2748020008336806E-2"/>
    <n v="0.30468947551730224"/>
    <n v="6.8999704927707295E-2"/>
  </r>
  <r>
    <s v="RUSSIAN FEDERATION"/>
    <s v="RUS"/>
    <s v="EUROPE &amp; CENTRAL ASIA"/>
    <x v="0"/>
    <s v="-"/>
    <s v="-"/>
    <s v="-"/>
  </r>
  <r>
    <s v="ETHIOPIA"/>
    <s v="ETH"/>
    <s v="SUB-SAHARAN AFRICA"/>
    <x v="2"/>
    <n v="0.40753682309865746"/>
    <n v="0.53575945048446527"/>
    <n v="0.19805082920525521"/>
  </r>
  <r>
    <s v="BANGLADESH"/>
    <s v="BGD"/>
    <s v="SOUTH ASIA"/>
    <x v="1"/>
    <n v="0.45280469042371824"/>
    <n v="0.28483199340342197"/>
    <n v="5.9634212194492053E-3"/>
  </r>
  <r>
    <s v="LEBANON"/>
    <s v="LBN"/>
    <s v="MIDDLE EAST &amp; NORTH AFRICA"/>
    <x v="1"/>
    <n v="0.27666067496257596"/>
    <n v="0.47681267001030442"/>
    <n v="0.1183508461815444"/>
  </r>
  <r>
    <s v="JORDAN"/>
    <s v="JOR"/>
    <s v="MIDDLE EAST &amp; NORTH AFRICA"/>
    <x v="1"/>
    <n v="0.13814961658080294"/>
    <n v="0.66487346419305893"/>
    <n v="0.30242444779889716"/>
  </r>
  <r>
    <s v="DEMOCRATIC REPUBLIC OF THE CONGO"/>
    <s v="COD"/>
    <s v="SUB-SAHARAN AFRICA"/>
    <x v="2"/>
    <s v="-"/>
    <n v="0.50990294226145805"/>
    <n v="0.30551613724848087"/>
  </r>
  <r>
    <s v="KENYA"/>
    <s v="KEN"/>
    <s v="SUB-SAHARAN AFRICA"/>
    <x v="1"/>
    <n v="0.72231344250961416"/>
    <n v="0.71407831027850044"/>
    <n v="0.46562676994198415"/>
  </r>
  <r>
    <s v="CHAD"/>
    <s v="TCD"/>
    <s v="SUB-SAHARAN AFRICA"/>
    <x v="2"/>
    <n v="0.1268679258693296"/>
    <n v="0.71194018195306707"/>
    <n v="0.23166938076746418"/>
  </r>
  <r>
    <s v="CAMEROON"/>
    <s v="CMR"/>
    <s v="SUB-SAHARAN AFRICA"/>
    <x v="1"/>
    <n v="5.6213756555034543E-2"/>
    <n v="0.46779187250686671"/>
    <n v="4.9578693064639683E-2"/>
  </r>
  <r>
    <s v="BRAZIL"/>
    <s v="BRA"/>
    <s v="LATIN AMERICA &amp; CARIBBEAN"/>
    <x v="0"/>
    <s v="-"/>
    <n v="0.90436153628747706"/>
    <n v="0.55994468312782075"/>
  </r>
  <r>
    <s v="NIGER"/>
    <s v="NER"/>
    <s v="SUB-SAHARAN AFRICA"/>
    <x v="2"/>
    <n v="0.2638610865415949"/>
    <n v="0.35635299038059387"/>
    <n v="1.4742294911057536E-2"/>
  </r>
  <r>
    <s v="SOUTH SUDAN"/>
    <s v="SSD"/>
    <s v="SUB-SAHARAN AFRICA"/>
    <x v="2"/>
    <n v="0.44496343870770427"/>
    <n v="0.66453103534407398"/>
    <n v="0.43786003693393238"/>
  </r>
  <r>
    <s v="IRAQ"/>
    <s v="IRQ"/>
    <s v="MIDDLE EAST &amp; NORTH AFRICA"/>
    <x v="0"/>
    <n v="0"/>
    <n v="0.67414888985633437"/>
    <n v="0.32493284879127826"/>
  </r>
  <r>
    <s v="UNITED REPUBLIC OF TANZANIA"/>
    <s v="TZA"/>
    <s v="SUB-SAHARAN AFRICA"/>
    <x v="1"/>
    <n v="0.70453853183064274"/>
    <n v="1.4297181846850722"/>
    <n v="0.39049080659917951"/>
  </r>
  <r>
    <s v="EGYPT"/>
    <s v="EGY"/>
    <s v="MIDDLE EAST &amp; NORTH AFRICA"/>
    <x v="1"/>
    <n v="0.66649571772911431"/>
    <n v="0.84998352039134739"/>
    <n v="0.78997873077113323"/>
  </r>
  <r>
    <s v="INDIA"/>
    <s v="IND"/>
    <s v="SOUTH ASIA"/>
    <x v="1"/>
    <s v="-"/>
    <n v="0.60002537105163012"/>
    <n v="0.3102262443438914"/>
  </r>
  <r>
    <s v="MEXICO"/>
    <s v="MEX"/>
    <s v="LATIN AMERICA &amp; CARIBBEAN"/>
    <x v="0"/>
    <s v="-"/>
    <s v="-"/>
    <s v="-"/>
  </r>
  <r>
    <s v="ECUADOR"/>
    <s v="ECU"/>
    <s v="LATIN AMERICA &amp; CARIBBEAN"/>
    <x v="0"/>
    <s v="-"/>
    <n v="0.83"/>
    <n v="0.55000000000000004"/>
  </r>
  <r>
    <s v="BULGARIA"/>
    <s v="BGR"/>
    <s v="EUROPE &amp; CENTRAL ASIA"/>
    <x v="0"/>
    <s v="-"/>
    <s v="-"/>
    <s v="-"/>
  </r>
  <r>
    <s v="MAURITANIA"/>
    <s v="MRT"/>
    <s v="SUB-SAHARAN AFRICA"/>
    <x v="1"/>
    <n v="9.1142596735437897E-2"/>
    <n v="0.29891035165923724"/>
    <n v="6.4118205232479325E-2"/>
  </r>
  <r>
    <s v="RWANDA"/>
    <s v="RWA"/>
    <s v="SUB-SAHARAN AFRICA"/>
    <x v="2"/>
    <n v="0.71841318721130332"/>
    <n v="1.2455105727340345"/>
    <n v="0.72504254944539004"/>
  </r>
  <r>
    <s v="MALAYSIA"/>
    <s v="MYS"/>
    <s v="EAST ASIA &amp; PACIFIC"/>
    <x v="0"/>
    <n v="0.21672090500542385"/>
    <n v="0.42857142857142855"/>
    <n v="0.30498392282958198"/>
  </r>
  <r>
    <s v="DOMINICAN REPUBLIC"/>
    <s v="DOM"/>
    <s v="LATIN AMERICA &amp; CARIBBEAN"/>
    <x v="0"/>
    <s v="-"/>
    <s v="-"/>
    <s v="-"/>
  </r>
  <r>
    <s v="NIGERIA"/>
    <s v="NGA"/>
    <s v="SUB-SAHARAN AFRICA"/>
    <x v="1"/>
    <n v="0.63998577018854497"/>
    <n v="0.44056481153255345"/>
    <n v="0.3283620248849497"/>
  </r>
  <r>
    <s v="BURUNDI"/>
    <s v="BDI"/>
    <s v="SUB-SAHARAN AFRICA"/>
    <x v="2"/>
    <n v="0.53651300775901412"/>
    <n v="0.7793756397134084"/>
    <n v="0.59117067402443835"/>
  </r>
  <r>
    <s v="REPUBLIC OF MOLDOVA"/>
    <s v="MDA"/>
    <s v="EUROPE &amp; CENTRAL ASIA"/>
    <x v="0"/>
    <s v="-"/>
    <s v="-"/>
    <s v="-"/>
  </r>
  <r>
    <s v="ALGERIA"/>
    <s v="DZA"/>
    <s v="MIDDLE EAST &amp; NORTH AFRICA"/>
    <x v="1"/>
    <n v="7.3513513513513512E-2"/>
    <n v="0.35771812080536913"/>
    <n v="0.20813875917278185"/>
  </r>
  <r>
    <s v="THAILAND"/>
    <s v="THA"/>
    <s v="EAST ASIA &amp; PACIFIC"/>
    <x v="0"/>
    <s v="-"/>
    <n v="0.64058873478630063"/>
    <n v="0.8729082821436136"/>
  </r>
  <r>
    <s v="MALI"/>
    <s v="MLI"/>
    <s v="SUB-SAHARAN AFRICA"/>
    <x v="2"/>
    <n v="0.38417832167832167"/>
    <n v="0.57251340083382962"/>
    <n v="0.13556055252168325"/>
  </r>
  <r>
    <s v="ANGOLA"/>
    <s v="AGO"/>
    <s v="SUB-SAHARAN AFRICA"/>
    <x v="1"/>
    <n v="0.71993410214168041"/>
    <n v="1.0777705767984447"/>
    <n v="0.28743169398907104"/>
  </r>
  <r>
    <s v="ZAMBIA"/>
    <s v="ZMB"/>
    <s v="SUB-SAHARAN AFRICA"/>
    <x v="1"/>
    <n v="0.18469968840657569"/>
    <n v="0.76825021354885337"/>
    <n v="0.29741251115296918"/>
  </r>
  <r>
    <s v="SOUTH AFRICA"/>
    <s v="ZAF"/>
    <s v="SUB-SAHARAN AFRICA"/>
    <x v="0"/>
    <s v="-"/>
    <n v="0.95694975022039375"/>
    <n v="0.89670437776684697"/>
  </r>
  <r>
    <s v="MALAWI"/>
    <s v="MWI"/>
    <s v="SUB-SAHARAN AFRICA"/>
    <x v="2"/>
    <n v="0.54595206642762784"/>
    <n v="0.39609327940796835"/>
    <n v="0.1542671802148794"/>
  </r>
  <r>
    <s v="CONGO"/>
    <s v="COG"/>
    <s v="SUB-SAHARAN AFRICA"/>
    <x v="1"/>
    <s v="-"/>
    <s v="-"/>
    <s v="-"/>
  </r>
  <r>
    <s v="YEMEN"/>
    <s v="YEM"/>
    <s v="MIDDLE EAST &amp; NORTH AFRICA"/>
    <x v="2"/>
    <s v="-"/>
    <n v="0.72295081967213115"/>
    <n v="0.28547249647390693"/>
  </r>
  <r>
    <s v="COSTA RICA"/>
    <s v="CRI"/>
    <s v="LATIN AMERICA &amp; CARIBBEAN"/>
    <x v="0"/>
    <s v="-"/>
    <n v="0.83"/>
    <n v="0.67"/>
  </r>
  <r>
    <s v="AFGHANISTAN"/>
    <s v="AFG"/>
    <s v="SOUTH ASIA"/>
    <x v="2"/>
    <s v="-"/>
    <s v="-"/>
    <s v="-"/>
  </r>
  <r>
    <s v="BURKINA FASO"/>
    <s v="BFA"/>
    <s v="SUB-SAHARAN AFRICA"/>
    <x v="2"/>
    <n v="0.15531023981728206"/>
    <n v="0.35758900687070583"/>
    <n v="0.12958963282937366"/>
  </r>
  <r>
    <s v="LIBYA"/>
    <s v="LBY"/>
    <s v="MIDDLE EAST &amp; NORTH AFRICA"/>
    <x v="0"/>
    <n v="0"/>
    <n v="2.1993514732835191E-2"/>
    <n v="2.2001205545509342E-2"/>
  </r>
  <r>
    <s v="ARMENIA"/>
    <s v="ARM"/>
    <s v="EUROPE &amp; CENTRAL ASIA"/>
    <x v="0"/>
    <s v="-"/>
    <s v="-"/>
    <s v="-"/>
  </r>
  <r>
    <s v="SOMALIA"/>
    <s v="SOM"/>
    <s v="SUB-SAHARAN AFRICA"/>
    <x v="2"/>
    <n v="0.11045056320400501"/>
    <n v="0.85840358271865125"/>
    <n v="0.27191235059760954"/>
  </r>
  <r>
    <s v="MONTENEGRO"/>
    <s v="MNE"/>
    <s v="EUROPE &amp; CENTRAL ASIA"/>
    <x v="0"/>
    <s v="-"/>
    <s v="-"/>
    <s v="-"/>
  </r>
  <r>
    <s v="DJIBOUTI"/>
    <s v="DJI"/>
    <s v="MIDDLE EAST &amp; NORTH AFRICA"/>
    <x v="1"/>
    <n v="0.18853211009174312"/>
    <n v="0.64838709677419359"/>
    <n v="0.40722065348931019"/>
  </r>
  <r>
    <s v="MOZAMBIQUE"/>
    <s v="MOZ"/>
    <s v="SUB-SAHARAN AFRICA"/>
    <x v="2"/>
    <n v="9.8250336473755043E-2"/>
    <n v="0.52897617514488082"/>
    <n v="0.29654036243822074"/>
  </r>
  <r>
    <s v="ARGENTINA"/>
    <s v="ARG"/>
    <s v="LATIN AMERICA &amp; CARIBBEAN"/>
    <x v="0"/>
    <s v="-"/>
    <s v="-"/>
    <s v="-"/>
  </r>
  <r>
    <s v="SERBIA"/>
    <s v="SRB"/>
    <s v="EUROPE &amp; CENTRAL ASIA"/>
    <x v="0"/>
    <s v="-"/>
    <s v="-"/>
    <s v="-"/>
  </r>
  <r>
    <s v="ZIMBABWE"/>
    <s v="ZWE"/>
    <s v="SUB-SAHARAN AFRICA"/>
    <x v="1"/>
    <n v="0.72093023255813948"/>
    <n v="0.71976781683327962"/>
    <n v="0.24323181049069373"/>
  </r>
  <r>
    <s v="BELARUS"/>
    <s v="BLR"/>
    <s v="EUROPE &amp; CENTRAL ASIA"/>
    <x v="0"/>
    <s v="-"/>
    <s v="-"/>
    <s v="-"/>
  </r>
  <r>
    <s v="SYRIAN ARAB REPUBLIC"/>
    <s v="SYR"/>
    <s v="MIDDLE EAST &amp; NORTH AFRICA"/>
    <x v="2"/>
    <s v="-"/>
    <n v="0.80203959208158371"/>
    <n v="0.45917602996254681"/>
  </r>
  <r>
    <s v="GEORGIA"/>
    <s v="GEO"/>
    <s v="EUROPE &amp; CENTRAL ASIA"/>
    <x v="0"/>
    <s v="-"/>
    <s v="-"/>
    <s v="-"/>
  </r>
  <r>
    <s v="SENEGAL"/>
    <s v="SEN"/>
    <s v="SUB-SAHARAN AFRICA"/>
    <x v="1"/>
    <n v="9.353233830845771E-2"/>
    <n v="0.44536585365853659"/>
    <n v="0.18246346555323592"/>
  </r>
  <r>
    <s v="BOLIVIA (PLURINATIONAL STATE OF)"/>
    <s v="BOL"/>
    <s v="LATIN AMERICA &amp; CARIBBEAN"/>
    <x v="1"/>
    <s v="-"/>
    <s v="-"/>
    <s v="-"/>
  </r>
  <r>
    <s v="CENTRAL AFRICAN REPUBLIC"/>
    <s v="CAF"/>
    <s v="SUB-SAHARAN AFRICA"/>
    <x v="2"/>
    <n v="3.6215816703621583E-2"/>
    <n v="0.39703703703703702"/>
    <n v="0.30151975683890575"/>
  </r>
  <r>
    <s v="MOROCCO"/>
    <s v="MAR"/>
    <s v="MIDDLE EAST &amp; NORTH AFRICA"/>
    <x v="1"/>
    <n v="0.40228873239436619"/>
    <n v="0.78119800332778699"/>
    <n v="0.4461738002594034"/>
  </r>
  <r>
    <s v="PAPUA NEW GUINEA"/>
    <s v="PNG"/>
    <s v="EAST ASIA &amp; PACIFIC"/>
    <x v="1"/>
    <s v="-"/>
    <s v="-"/>
    <s v="-"/>
  </r>
  <r>
    <s v="TOGO"/>
    <s v="TGO"/>
    <s v="SUB-SAHARAN AFRICA"/>
    <x v="2"/>
    <n v="0.6428571428571429"/>
    <n v="0.16167355371900827"/>
    <n v="8.2248115147361203E-2"/>
  </r>
  <r>
    <s v="VENEZUELA (BOLIVARIAN REPUBLIC OF)"/>
    <s v="VEN"/>
    <s v="LATIN AMERICA &amp; CARIBBEAN"/>
    <x v="0"/>
    <s v="-"/>
    <s v="-"/>
    <s v="-"/>
  </r>
  <r>
    <s v="UZBEKISTAN"/>
    <s v="UZB"/>
    <s v="EUROPE &amp; CENTRAL ASIA"/>
    <x v="1"/>
    <s v="-"/>
    <s v="-"/>
    <s v="-"/>
  </r>
  <r>
    <s v="TAJIKISTAN"/>
    <s v="TJK"/>
    <s v="EUROPE &amp; CENTRAL ASIA"/>
    <x v="1"/>
    <s v="-"/>
    <s v="-"/>
    <s v="-"/>
  </r>
  <r>
    <s v="GHANA"/>
    <s v="GHA"/>
    <s v="SUB-SAHARAN AFRICA"/>
    <x v="1"/>
    <n v="1"/>
    <n v="0.99937343358395991"/>
    <n v="1"/>
  </r>
  <r>
    <s v="TUNISIA"/>
    <s v="TUN"/>
    <s v="MIDDLE EAST &amp; NORTH AFRICA"/>
    <x v="1"/>
    <s v="-"/>
    <n v="0.37784522003034904"/>
    <n v="0.1122754491017964"/>
  </r>
  <r>
    <s v="NAMIBIA"/>
    <s v="NAM"/>
    <s v="SUB-SAHARAN AFRICA"/>
    <x v="0"/>
    <s v="-"/>
    <s v="-"/>
    <s v="-"/>
  </r>
  <r>
    <s v="INDONESIA"/>
    <s v="IDN"/>
    <s v="EAST ASIA &amp; PACIFIC"/>
    <x v="0"/>
    <n v="5.007587253414264E-2"/>
    <n v="0.10435571687840291"/>
    <n v="2.2727272727272728E-2"/>
  </r>
  <r>
    <s v="NEPAL"/>
    <s v="NPL"/>
    <s v="SOUTH ASIA"/>
    <x v="1"/>
    <s v="-"/>
    <n v="0.95410827150316024"/>
    <n v="0.89447592067988668"/>
  </r>
  <r>
    <s v="PARAGUAY"/>
    <s v="PRY"/>
    <s v="LATIN AMERICA &amp; CARIBBEAN"/>
    <x v="0"/>
    <s v="-"/>
    <s v="-"/>
    <s v="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40098E-7D99-7047-BA33-CE3EB6960B6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:N5" firstHeaderRow="0" firstDataRow="1" firstDataCol="1"/>
  <pivotFields count="7"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dataField="1" showAll="0"/>
    <pivotField dataField="1"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Pre-Primary_GER" fld="4" subtotal="average" baseField="0" baseItem="0"/>
    <dataField name="Average of Primary_GER" fld="5" subtotal="average" baseField="0" baseItem="0"/>
    <dataField name="Average of Secondary_GER" fld="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E59" dT="2023-10-30T08:00:41.42" personId="{65A65A6C-0053-2C41-827A-A279B1E15640}" id="{2F647012-30CE-D54F-A344-954664058134}">
    <text>2015</text>
  </threadedComment>
  <threadedComment ref="AE70" dT="2023-10-30T08:02:14.62" personId="{65A65A6C-0053-2C41-827A-A279B1E15640}" id="{FA8E6C91-E869-CE46-9F17-5321723CC4FD}">
    <text>2014</text>
  </threadedComment>
  <threadedComment ref="AE71" dT="2023-10-30T08:01:22.17" personId="{65A65A6C-0053-2C41-827A-A279B1E15640}" id="{E21B92FE-029D-BE44-9BB2-70A8DB8499CA}">
    <text>2018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3D851-972A-9B41-9BDA-190EB12BEB4C}">
  <dimension ref="A1:J34"/>
  <sheetViews>
    <sheetView tabSelected="1" zoomScale="125" zoomScaleNormal="120" workbookViewId="0">
      <selection activeCell="B18" sqref="B18:C18"/>
    </sheetView>
  </sheetViews>
  <sheetFormatPr baseColWidth="10" defaultRowHeight="16" x14ac:dyDescent="0.2"/>
  <cols>
    <col min="1" max="1" width="3.5" style="33" customWidth="1"/>
    <col min="2" max="2" width="31" style="32" customWidth="1"/>
    <col min="3" max="3" width="31.33203125" style="33" customWidth="1"/>
    <col min="4" max="4" width="10.83203125" style="33"/>
    <col min="5" max="5" width="28" style="33" customWidth="1"/>
    <col min="6" max="6" width="13.33203125" style="33" customWidth="1"/>
    <col min="7" max="7" width="10.83203125" style="33"/>
    <col min="8" max="8" width="25" style="33" customWidth="1"/>
    <col min="9" max="9" width="22" style="33" customWidth="1"/>
    <col min="10" max="16384" width="10.83203125" style="33"/>
  </cols>
  <sheetData>
    <row r="1" spans="1:10" ht="17" thickBot="1" x14ac:dyDescent="0.25">
      <c r="B1" s="36"/>
      <c r="C1" s="37"/>
    </row>
    <row r="2" spans="1:10" ht="18" thickBot="1" x14ac:dyDescent="0.25">
      <c r="A2" s="34"/>
      <c r="B2" s="40" t="s">
        <v>0</v>
      </c>
      <c r="C2" s="41" t="s">
        <v>121</v>
      </c>
      <c r="D2" s="35" t="s">
        <v>217</v>
      </c>
    </row>
    <row r="3" spans="1:10" ht="17" thickBot="1" x14ac:dyDescent="0.25">
      <c r="B3" s="43"/>
      <c r="C3" s="44"/>
      <c r="E3" s="37"/>
      <c r="F3" s="37"/>
      <c r="H3" s="37"/>
      <c r="I3" s="37"/>
    </row>
    <row r="4" spans="1:10" x14ac:dyDescent="0.2">
      <c r="A4" s="34"/>
      <c r="B4" s="73" t="s">
        <v>218</v>
      </c>
      <c r="C4" s="74"/>
      <c r="D4" s="53"/>
      <c r="E4" s="67" t="s">
        <v>235</v>
      </c>
      <c r="F4" s="68"/>
      <c r="G4" s="53"/>
      <c r="H4" s="71" t="s">
        <v>242</v>
      </c>
      <c r="I4" s="72"/>
      <c r="J4" s="42"/>
    </row>
    <row r="5" spans="1:10" ht="17" x14ac:dyDescent="0.2">
      <c r="A5" s="34"/>
      <c r="B5" s="45" t="s">
        <v>2</v>
      </c>
      <c r="C5" s="46" t="str">
        <f>VLOOKUP($C$2, 'LIC and MIC'!$A$2:$AH$73, 4, FALSE)</f>
        <v>LOW INCOME</v>
      </c>
      <c r="D5" s="53"/>
      <c r="E5" s="58" t="s">
        <v>236</v>
      </c>
      <c r="F5" s="57"/>
      <c r="G5" s="53"/>
      <c r="H5" s="58" t="s">
        <v>239</v>
      </c>
      <c r="I5" s="57"/>
      <c r="J5" s="42"/>
    </row>
    <row r="6" spans="1:10" ht="17" x14ac:dyDescent="0.2">
      <c r="A6" s="34"/>
      <c r="B6" s="45" t="s">
        <v>227</v>
      </c>
      <c r="C6" s="46" t="str">
        <f>VLOOKUP($C$2, 'LIC and MIC'!$A$2:$AH$73, 12, FALSE)</f>
        <v>IDA</v>
      </c>
      <c r="D6" s="53"/>
      <c r="E6" s="49" t="s">
        <v>229</v>
      </c>
      <c r="F6" s="46">
        <v>1</v>
      </c>
      <c r="G6" s="53"/>
      <c r="H6" s="49" t="s">
        <v>229</v>
      </c>
      <c r="I6" s="48">
        <f>IF(SUM(F6:F7)=7, (F6/7*C14*F23), (F6/SUM($F$6:$F$9)*C16))</f>
        <v>1758.0314285714285</v>
      </c>
      <c r="J6" s="42"/>
    </row>
    <row r="7" spans="1:10" x14ac:dyDescent="0.2">
      <c r="A7" s="34"/>
      <c r="B7" s="45"/>
      <c r="C7" s="46"/>
      <c r="D7" s="53"/>
      <c r="E7" s="49" t="s">
        <v>177</v>
      </c>
      <c r="F7" s="46">
        <v>6</v>
      </c>
      <c r="G7" s="53"/>
      <c r="H7" s="49" t="s">
        <v>177</v>
      </c>
      <c r="I7" s="48">
        <f>IF(SUM(F6:F7)=7, (F7/7*C14*F24), (F7/SUM(F6:F9)*C16))</f>
        <v>10548.188571428571</v>
      </c>
      <c r="J7" s="42"/>
    </row>
    <row r="8" spans="1:10" x14ac:dyDescent="0.2">
      <c r="A8" s="34"/>
      <c r="B8" s="65" t="s">
        <v>219</v>
      </c>
      <c r="C8" s="66"/>
      <c r="D8" s="53"/>
      <c r="E8" s="49" t="s">
        <v>178</v>
      </c>
      <c r="F8" s="46">
        <v>3</v>
      </c>
      <c r="G8" s="53"/>
      <c r="H8" s="49" t="s">
        <v>178</v>
      </c>
      <c r="I8" s="48">
        <f>IF(SUM(F8:F9)=6, (F8/6*C15*F25), (F8/SUM($F$6:$F$9)*C16))</f>
        <v>3374.0432000000001</v>
      </c>
      <c r="J8" s="42"/>
    </row>
    <row r="9" spans="1:10" ht="17" x14ac:dyDescent="0.2">
      <c r="A9" s="34"/>
      <c r="B9" s="45" t="s">
        <v>220</v>
      </c>
      <c r="C9" s="47">
        <f>VLOOKUP($C$2, 'LIC and MIC'!$A$2:$AH$73, 5, FALSE)</f>
        <v>52159</v>
      </c>
      <c r="D9" s="53"/>
      <c r="E9" s="49" t="s">
        <v>179</v>
      </c>
      <c r="F9" s="46">
        <v>3</v>
      </c>
      <c r="G9" s="53"/>
      <c r="H9" s="49" t="s">
        <v>179</v>
      </c>
      <c r="I9" s="48">
        <f>IF(SUM(F8:F9)=6, (F9/6*C15*F26), (F9/SUM(F6:F9)*C16))</f>
        <v>3374.0432000000001</v>
      </c>
      <c r="J9" s="42"/>
    </row>
    <row r="10" spans="1:10" ht="17" x14ac:dyDescent="0.2">
      <c r="A10" s="34"/>
      <c r="B10" s="45" t="s">
        <v>221</v>
      </c>
      <c r="C10" s="47">
        <f>VLOOKUP($C$2, 'LIC and MIC'!$A$2:$AH$73, 6, FALSE)</f>
        <v>218</v>
      </c>
      <c r="D10" s="53"/>
      <c r="E10" s="49"/>
      <c r="F10" s="46"/>
      <c r="G10" s="53"/>
      <c r="H10" s="49" t="s">
        <v>170</v>
      </c>
      <c r="I10" s="48">
        <f>SUM(I6:I9)</f>
        <v>19054.306400000001</v>
      </c>
      <c r="J10" s="42"/>
    </row>
    <row r="11" spans="1:10" ht="17" x14ac:dyDescent="0.2">
      <c r="A11" s="34"/>
      <c r="B11" s="45" t="s">
        <v>222</v>
      </c>
      <c r="C11" s="47">
        <f>VLOOKUP($C$2, 'LIC and MIC'!$A$2:$AH$73, 7, FALSE)</f>
        <v>0</v>
      </c>
      <c r="D11" s="53"/>
      <c r="E11" s="59" t="s">
        <v>237</v>
      </c>
      <c r="F11" s="46"/>
      <c r="G11" s="53"/>
      <c r="H11" s="49"/>
      <c r="I11" s="46"/>
      <c r="J11" s="42"/>
    </row>
    <row r="12" spans="1:10" ht="17" x14ac:dyDescent="0.2">
      <c r="A12" s="34"/>
      <c r="B12" s="45" t="s">
        <v>223</v>
      </c>
      <c r="C12" s="47">
        <f>SUM(C9:C11)</f>
        <v>52377</v>
      </c>
      <c r="D12" s="53"/>
      <c r="E12" s="49" t="s">
        <v>229</v>
      </c>
      <c r="F12" s="46">
        <v>0.2</v>
      </c>
      <c r="G12" s="53"/>
      <c r="H12" s="69" t="s">
        <v>240</v>
      </c>
      <c r="I12" s="70"/>
      <c r="J12" s="42"/>
    </row>
    <row r="13" spans="1:10" ht="17" x14ac:dyDescent="0.2">
      <c r="A13" s="34"/>
      <c r="B13" s="45"/>
      <c r="C13" s="46"/>
      <c r="D13" s="53"/>
      <c r="E13" s="49" t="s">
        <v>177</v>
      </c>
      <c r="F13" s="46">
        <v>0.2</v>
      </c>
      <c r="G13" s="53"/>
      <c r="H13" s="45" t="s">
        <v>229</v>
      </c>
      <c r="I13" s="47">
        <f>(1+F12+F15)*C32</f>
        <v>109.36102203397226</v>
      </c>
      <c r="J13" s="42"/>
    </row>
    <row r="14" spans="1:10" ht="17" x14ac:dyDescent="0.2">
      <c r="A14" s="34"/>
      <c r="B14" s="45" t="s">
        <v>224</v>
      </c>
      <c r="C14" s="47">
        <f>VLOOKUP($C$2, 'LIC and MIC'!$A$2:$AH$73, 14, FALSE)</f>
        <v>12306.22</v>
      </c>
      <c r="D14" s="53"/>
      <c r="E14" s="49" t="s">
        <v>180</v>
      </c>
      <c r="F14" s="46">
        <v>0.35</v>
      </c>
      <c r="G14" s="53"/>
      <c r="H14" s="45" t="s">
        <v>177</v>
      </c>
      <c r="I14" s="47">
        <f>(1+F13)*C32</f>
        <v>87.488817627177809</v>
      </c>
      <c r="J14" s="42"/>
    </row>
    <row r="15" spans="1:10" ht="17" x14ac:dyDescent="0.2">
      <c r="A15" s="34"/>
      <c r="B15" s="45" t="s">
        <v>225</v>
      </c>
      <c r="C15" s="47">
        <f>VLOOKUP($C$2, 'LIC and MIC'!$A$2:$AH$73, 15, FALSE)</f>
        <v>6748.0864000000001</v>
      </c>
      <c r="D15" s="53"/>
      <c r="E15" s="49" t="s">
        <v>238</v>
      </c>
      <c r="F15" s="46">
        <v>0.3</v>
      </c>
      <c r="G15" s="53"/>
      <c r="H15" s="45" t="s">
        <v>180</v>
      </c>
      <c r="I15" s="47">
        <f>(1+F14)*C33</f>
        <v>107.34065531805554</v>
      </c>
      <c r="J15" s="42"/>
    </row>
    <row r="16" spans="1:10" ht="17" x14ac:dyDescent="0.2">
      <c r="A16" s="34"/>
      <c r="B16" s="45" t="s">
        <v>226</v>
      </c>
      <c r="C16" s="48">
        <f>SUM(C14:C15)</f>
        <v>19054.306400000001</v>
      </c>
      <c r="D16" s="53"/>
      <c r="E16" s="49"/>
      <c r="F16" s="46"/>
      <c r="G16" s="53"/>
      <c r="H16" s="49"/>
      <c r="I16" s="46"/>
      <c r="J16" s="42"/>
    </row>
    <row r="17" spans="1:10" x14ac:dyDescent="0.2">
      <c r="A17" s="34"/>
      <c r="B17" s="45"/>
      <c r="C17" s="46"/>
      <c r="D17" s="53"/>
      <c r="E17" s="59" t="s">
        <v>230</v>
      </c>
      <c r="F17" s="46"/>
      <c r="G17" s="53"/>
      <c r="H17" s="69" t="s">
        <v>241</v>
      </c>
      <c r="I17" s="70"/>
      <c r="J17" s="42"/>
    </row>
    <row r="18" spans="1:10" x14ac:dyDescent="0.2">
      <c r="A18" s="34"/>
      <c r="B18" s="63" t="s">
        <v>228</v>
      </c>
      <c r="C18" s="64"/>
      <c r="D18" s="53"/>
      <c r="E18" s="49" t="s">
        <v>229</v>
      </c>
      <c r="F18" s="50" t="str">
        <f>VLOOKUP($C$2, Targets!$B$4:$AK$75, 16, FALSE)</f>
        <v>-</v>
      </c>
      <c r="G18" s="53"/>
      <c r="H18" s="49" t="s">
        <v>229</v>
      </c>
      <c r="I18" s="47">
        <f>I6*I13</f>
        <v>192260.11379641571</v>
      </c>
      <c r="J18" s="42"/>
    </row>
    <row r="19" spans="1:10" x14ac:dyDescent="0.2">
      <c r="A19" s="34"/>
      <c r="B19" s="49" t="s">
        <v>234</v>
      </c>
      <c r="C19" s="46"/>
      <c r="D19" s="53"/>
      <c r="E19" s="49" t="s">
        <v>177</v>
      </c>
      <c r="F19" s="50" t="str">
        <f>VLOOKUP($C$2, Targets!$B$4:$AK$75, 17, FALSE)</f>
        <v>-</v>
      </c>
      <c r="G19" s="53"/>
      <c r="H19" s="49" t="s">
        <v>177</v>
      </c>
      <c r="I19" s="47">
        <f>I7*I14</f>
        <v>922848.5462227955</v>
      </c>
      <c r="J19" s="42"/>
    </row>
    <row r="20" spans="1:10" x14ac:dyDescent="0.2">
      <c r="A20" s="34"/>
      <c r="B20" s="49" t="s">
        <v>229</v>
      </c>
      <c r="C20" s="50">
        <f>VLOOKUP($C$2, Targets!$B$4:$AK$75, 12, FALSE)/100</f>
        <v>0.20146460000000002</v>
      </c>
      <c r="D20" s="53"/>
      <c r="E20" s="49" t="s">
        <v>180</v>
      </c>
      <c r="F20" s="50" t="str">
        <f>VLOOKUP($C$2, Targets!$B$4:$AK$75, 18, FALSE)</f>
        <v>-</v>
      </c>
      <c r="G20" s="53"/>
      <c r="H20" s="49" t="s">
        <v>178</v>
      </c>
      <c r="I20" s="47">
        <f>I8*I15</f>
        <v>362172.00815942913</v>
      </c>
      <c r="J20" s="42"/>
    </row>
    <row r="21" spans="1:10" x14ac:dyDescent="0.2">
      <c r="A21" s="34"/>
      <c r="B21" s="49" t="s">
        <v>177</v>
      </c>
      <c r="C21" s="50">
        <f>VLOOKUP($C$2, Targets!$B$4:$AK$75, 13, FALSE)/100</f>
        <v>1.1001000000000001</v>
      </c>
      <c r="D21" s="53"/>
      <c r="E21" s="49"/>
      <c r="F21" s="46"/>
      <c r="G21" s="53"/>
      <c r="H21" s="49" t="s">
        <v>179</v>
      </c>
      <c r="I21" s="47">
        <f>I9*I15</f>
        <v>362172.00815942913</v>
      </c>
      <c r="J21" s="42"/>
    </row>
    <row r="22" spans="1:10" ht="17" thickBot="1" x14ac:dyDescent="0.25">
      <c r="A22" s="34"/>
      <c r="B22" s="49" t="s">
        <v>178</v>
      </c>
      <c r="C22" s="50">
        <f>VLOOKUP($C$2, Targets!$B$4:$AK$75, 14, FALSE)/100</f>
        <v>0.7238</v>
      </c>
      <c r="D22" s="53"/>
      <c r="E22" s="59" t="s">
        <v>231</v>
      </c>
      <c r="F22" s="46"/>
      <c r="G22" s="53"/>
      <c r="H22" s="55" t="s">
        <v>170</v>
      </c>
      <c r="I22" s="60">
        <f>SUM(I18:I21)</f>
        <v>1839452.6763380694</v>
      </c>
      <c r="J22" s="42"/>
    </row>
    <row r="23" spans="1:10" x14ac:dyDescent="0.2">
      <c r="A23" s="34"/>
      <c r="B23" s="49" t="s">
        <v>179</v>
      </c>
      <c r="C23" s="50">
        <f>VLOOKUP($C$2, Targets!$B$4:$AK$75, 15, FALSE)/100</f>
        <v>0.4204</v>
      </c>
      <c r="D23" s="53"/>
      <c r="E23" s="49" t="s">
        <v>229</v>
      </c>
      <c r="F23" s="54">
        <v>1</v>
      </c>
      <c r="G23" s="42"/>
      <c r="H23" s="39"/>
      <c r="I23" s="39"/>
    </row>
    <row r="24" spans="1:10" x14ac:dyDescent="0.2">
      <c r="A24" s="34"/>
      <c r="B24" s="49"/>
      <c r="C24" s="46"/>
      <c r="D24" s="53"/>
      <c r="E24" s="49" t="s">
        <v>177</v>
      </c>
      <c r="F24" s="54">
        <v>1</v>
      </c>
      <c r="G24" s="42"/>
    </row>
    <row r="25" spans="1:10" x14ac:dyDescent="0.2">
      <c r="A25" s="34"/>
      <c r="B25" s="49" t="s">
        <v>233</v>
      </c>
      <c r="C25" s="46"/>
      <c r="D25" s="53"/>
      <c r="E25" s="49" t="s">
        <v>178</v>
      </c>
      <c r="F25" s="54">
        <v>1</v>
      </c>
      <c r="G25" s="42"/>
    </row>
    <row r="26" spans="1:10" ht="17" thickBot="1" x14ac:dyDescent="0.25">
      <c r="A26" s="34"/>
      <c r="B26" s="49" t="s">
        <v>229</v>
      </c>
      <c r="C26" s="50">
        <f>VLOOKUP($C$2, Targets!$B$4:$AK$75, 19, FALSE)/100</f>
        <v>0.69120705000000005</v>
      </c>
      <c r="D26" s="53"/>
      <c r="E26" s="55" t="s">
        <v>179</v>
      </c>
      <c r="F26" s="56">
        <v>1</v>
      </c>
      <c r="G26" s="42"/>
    </row>
    <row r="27" spans="1:10" x14ac:dyDescent="0.2">
      <c r="A27" s="34"/>
      <c r="B27" s="49" t="s">
        <v>177</v>
      </c>
      <c r="C27" s="50">
        <f>VLOOKUP($C$2, Targets!$B$4:$AK$75, 20, FALSE)/100</f>
        <v>0.81623321500000001</v>
      </c>
      <c r="D27" s="42"/>
      <c r="E27" s="39"/>
      <c r="F27" s="39"/>
    </row>
    <row r="28" spans="1:10" x14ac:dyDescent="0.2">
      <c r="A28" s="34"/>
      <c r="B28" s="49" t="s">
        <v>178</v>
      </c>
      <c r="C28" s="50">
        <f>VLOOKUP($C$2, Targets!$B$4:$AK$75, 21, FALSE)/100</f>
        <v>0.81262643810000001</v>
      </c>
      <c r="D28" s="42"/>
    </row>
    <row r="29" spans="1:10" x14ac:dyDescent="0.2">
      <c r="A29" s="34"/>
      <c r="B29" s="49" t="s">
        <v>179</v>
      </c>
      <c r="C29" s="50">
        <f>VLOOKUP($C$2, Targets!$B$4:$AK$75, 22, FALSE)/100</f>
        <v>0.68627748999999993</v>
      </c>
      <c r="D29" s="42"/>
    </row>
    <row r="30" spans="1:10" x14ac:dyDescent="0.2">
      <c r="A30" s="34"/>
      <c r="B30" s="49"/>
      <c r="C30" s="46"/>
      <c r="D30" s="42"/>
    </row>
    <row r="31" spans="1:10" x14ac:dyDescent="0.2">
      <c r="A31" s="34"/>
      <c r="B31" s="65" t="s">
        <v>232</v>
      </c>
      <c r="C31" s="66"/>
      <c r="D31" s="42"/>
    </row>
    <row r="32" spans="1:10" ht="17" x14ac:dyDescent="0.2">
      <c r="A32" s="34"/>
      <c r="B32" s="45" t="s">
        <v>177</v>
      </c>
      <c r="C32" s="47">
        <f>VLOOKUP($C$2, 'LIC and MIC'!$A$2:$AH$73, 21, FALSE)</f>
        <v>72.907348022648179</v>
      </c>
      <c r="D32" s="42"/>
    </row>
    <row r="33" spans="1:4" ht="18" thickBot="1" x14ac:dyDescent="0.25">
      <c r="A33" s="34"/>
      <c r="B33" s="51" t="s">
        <v>180</v>
      </c>
      <c r="C33" s="52">
        <f>VLOOKUP($C$2, 'LIC and MIC'!$A$2:$AH$73, 22, FALSE)</f>
        <v>79.511596531892991</v>
      </c>
      <c r="D33" s="42"/>
    </row>
    <row r="34" spans="1:4" x14ac:dyDescent="0.2">
      <c r="B34" s="38"/>
      <c r="C34" s="39"/>
    </row>
  </sheetData>
  <mergeCells count="8">
    <mergeCell ref="B18:C18"/>
    <mergeCell ref="B31:C31"/>
    <mergeCell ref="E4:F4"/>
    <mergeCell ref="H12:I12"/>
    <mergeCell ref="H17:I17"/>
    <mergeCell ref="H4:I4"/>
    <mergeCell ref="B4:C4"/>
    <mergeCell ref="B8:C8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F4B6E2-6F5E-D446-9429-BBE5499B1B66}">
          <x14:formula1>
            <xm:f>'LIC and MIC'!$A$2:$A$73</xm:f>
          </x14:formula1>
          <xm:sqref>C2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7671-4C7D-BA40-A4E3-740B81FD6EE7}">
  <dimension ref="A1:AH73"/>
  <sheetViews>
    <sheetView topLeftCell="A16" workbookViewId="0">
      <selection activeCell="G32" sqref="G32"/>
    </sheetView>
  </sheetViews>
  <sheetFormatPr baseColWidth="10" defaultRowHeight="16" x14ac:dyDescent="0.2"/>
  <cols>
    <col min="2" max="4" width="10.83203125" customWidth="1"/>
    <col min="5" max="5" width="13" customWidth="1"/>
    <col min="6" max="6" width="11.5" customWidth="1"/>
    <col min="7" max="8" width="13" customWidth="1"/>
    <col min="9" max="13" width="10.83203125" customWidth="1"/>
    <col min="14" max="15" width="11.5" customWidth="1"/>
    <col min="16" max="16" width="13" customWidth="1"/>
    <col min="17" max="19" width="11.5" customWidth="1"/>
    <col min="20" max="25" width="10.83203125" customWidth="1"/>
    <col min="26" max="28" width="15" customWidth="1"/>
    <col min="29" max="29" width="14" customWidth="1"/>
    <col min="31" max="32" width="12.1640625" bestFit="1" customWidth="1"/>
  </cols>
  <sheetData>
    <row r="1" spans="1:34" x14ac:dyDescent="0.2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183</v>
      </c>
      <c r="J1" t="s">
        <v>184</v>
      </c>
      <c r="K1" t="s">
        <v>185</v>
      </c>
      <c r="L1" t="s">
        <v>186</v>
      </c>
      <c r="M1" t="s">
        <v>187</v>
      </c>
      <c r="N1" t="s">
        <v>61</v>
      </c>
      <c r="O1" t="s">
        <v>62</v>
      </c>
      <c r="P1" t="s">
        <v>63</v>
      </c>
      <c r="Q1" t="s">
        <v>188</v>
      </c>
      <c r="R1" t="s">
        <v>189</v>
      </c>
      <c r="S1" t="s">
        <v>190</v>
      </c>
      <c r="T1" t="s">
        <v>202</v>
      </c>
      <c r="U1" t="s">
        <v>203</v>
      </c>
      <c r="V1" t="s">
        <v>204</v>
      </c>
      <c r="W1" t="s">
        <v>199</v>
      </c>
      <c r="X1" t="s">
        <v>200</v>
      </c>
      <c r="Y1" t="s">
        <v>201</v>
      </c>
      <c r="Z1" t="s">
        <v>205</v>
      </c>
      <c r="AA1" t="s">
        <v>206</v>
      </c>
      <c r="AB1" t="s">
        <v>207</v>
      </c>
      <c r="AC1" t="s">
        <v>208</v>
      </c>
      <c r="AD1" t="s">
        <v>212</v>
      </c>
      <c r="AE1" t="s">
        <v>213</v>
      </c>
      <c r="AF1" t="s">
        <v>214</v>
      </c>
      <c r="AG1" t="s">
        <v>215</v>
      </c>
    </row>
    <row r="2" spans="1:34" x14ac:dyDescent="0.2">
      <c r="A2" t="s">
        <v>121</v>
      </c>
      <c r="B2" t="s">
        <v>122</v>
      </c>
      <c r="C2" t="s">
        <v>27</v>
      </c>
      <c r="D2" t="s">
        <v>36</v>
      </c>
      <c r="E2" s="3">
        <v>52159</v>
      </c>
      <c r="F2" s="3">
        <v>218</v>
      </c>
      <c r="G2" s="3">
        <v>0</v>
      </c>
      <c r="H2" s="3">
        <v>52377</v>
      </c>
      <c r="I2">
        <v>1</v>
      </c>
      <c r="J2" s="6">
        <v>0.23495466000000001</v>
      </c>
      <c r="K2" s="6">
        <v>0.12883683000000001</v>
      </c>
      <c r="L2" t="s">
        <v>32</v>
      </c>
      <c r="M2">
        <v>0</v>
      </c>
      <c r="N2" s="3">
        <v>12306.22</v>
      </c>
      <c r="O2" s="3">
        <v>6748.0864000000001</v>
      </c>
      <c r="P2" s="3">
        <v>19054.307000000001</v>
      </c>
      <c r="Q2" s="3">
        <v>1758.0314000000001</v>
      </c>
      <c r="R2" s="3">
        <v>10548.189</v>
      </c>
      <c r="S2" s="3">
        <v>6748.0864000000001</v>
      </c>
      <c r="T2" s="3">
        <f>U2*1.3</f>
        <v>94.779552429442631</v>
      </c>
      <c r="U2" s="3">
        <v>72.907348022648179</v>
      </c>
      <c r="V2" s="3">
        <v>79.511596531892991</v>
      </c>
      <c r="W2" s="3">
        <f>T2*1.2</f>
        <v>113.73546291533115</v>
      </c>
      <c r="X2" s="3">
        <v>87.488817627177809</v>
      </c>
      <c r="Y2" s="3">
        <v>107.34065531805554</v>
      </c>
      <c r="Z2" s="3">
        <f>W2*Q2</f>
        <v>199950.51509868773</v>
      </c>
      <c r="AA2" s="3">
        <f>X2*R2</f>
        <v>922848.58371800312</v>
      </c>
      <c r="AB2" s="3">
        <f>Y2*S2</f>
        <v>724344.01631885825</v>
      </c>
      <c r="AC2" s="1">
        <f>SUM(Z2:AB2)</f>
        <v>1847143.1151355491</v>
      </c>
      <c r="AD2">
        <f>VLOOKUP(A2,[1]Ark1!$A$3:$B$220, 2, FALSE)</f>
        <v>3.0348000000000002</v>
      </c>
      <c r="AE2">
        <f>VLOOKUP(B2,[2]Data!$B$5:$BM$270, 64, FALSE)</f>
        <v>20143451705.754845</v>
      </c>
      <c r="AF2">
        <f t="shared" ref="AF2:AF30" si="0">AD2/100*AE2</f>
        <v>611313472.36624801</v>
      </c>
      <c r="AG2" s="4">
        <f t="shared" ref="AG2:AG30" si="1">AC2/AF2*100</f>
        <v>0.30215972633249855</v>
      </c>
      <c r="AH2">
        <f t="shared" ref="AH2:AH30" si="2">IF(AG2&lt;1, 1, 0)</f>
        <v>1</v>
      </c>
    </row>
    <row r="3" spans="1:34" x14ac:dyDescent="0.2">
      <c r="A3" t="s">
        <v>141</v>
      </c>
      <c r="B3" t="s">
        <v>142</v>
      </c>
      <c r="C3" t="s">
        <v>18</v>
      </c>
      <c r="D3" t="s">
        <v>20</v>
      </c>
      <c r="E3" s="3">
        <v>99107</v>
      </c>
      <c r="F3" s="3">
        <v>3646</v>
      </c>
      <c r="G3" s="3">
        <v>0</v>
      </c>
      <c r="H3" s="3">
        <v>102753</v>
      </c>
      <c r="I3">
        <v>0.09</v>
      </c>
      <c r="J3" s="6">
        <v>0.18</v>
      </c>
      <c r="K3" s="6">
        <v>0.13</v>
      </c>
      <c r="L3" t="s">
        <v>8</v>
      </c>
      <c r="M3">
        <v>1</v>
      </c>
      <c r="N3" s="3">
        <v>18495.54</v>
      </c>
      <c r="O3" s="3">
        <v>13357.89</v>
      </c>
      <c r="P3" s="3">
        <v>31853.43</v>
      </c>
      <c r="Q3" s="3">
        <v>2642.22</v>
      </c>
      <c r="R3" s="3">
        <v>15853.32</v>
      </c>
      <c r="S3" s="3">
        <v>13357.89</v>
      </c>
      <c r="T3" s="3">
        <f t="shared" ref="T3:T66" si="3">U3*1.3</f>
        <v>638.95000000000005</v>
      </c>
      <c r="U3" s="3">
        <v>491.5</v>
      </c>
      <c r="V3" s="3">
        <v>765.03</v>
      </c>
      <c r="W3" s="3">
        <f t="shared" ref="W3:W66" si="4">T3*1.2</f>
        <v>766.74</v>
      </c>
      <c r="X3" s="3">
        <v>589.79999999999995</v>
      </c>
      <c r="Y3" s="3">
        <v>1032.7905000000001</v>
      </c>
      <c r="Z3" s="3">
        <f t="shared" ref="Z3:Z66" si="5">W3*Q3</f>
        <v>2025895.7627999999</v>
      </c>
      <c r="AA3" s="3">
        <f t="shared" ref="AA3:AA34" si="6">X3*R3</f>
        <v>9350288.1359999999</v>
      </c>
      <c r="AB3" s="3">
        <f t="shared" ref="AB3:AB34" si="7">Y3*S3</f>
        <v>13795901.892045001</v>
      </c>
      <c r="AC3" s="1">
        <f t="shared" ref="AC3:AC66" si="8">SUM(Z3:AB3)</f>
        <v>25172085.790844999</v>
      </c>
      <c r="AD3">
        <f>VLOOKUP(A3,[1]Ark1!$A$3:$B$220, 2, FALSE)</f>
        <v>6.2880000000000003</v>
      </c>
      <c r="AE3">
        <f>VLOOKUP(B3,[2]Data!$B$5:$BM$270, 64, FALSE)</f>
        <v>145743722826.25845</v>
      </c>
      <c r="AF3">
        <f t="shared" si="0"/>
        <v>9164365291.3151321</v>
      </c>
      <c r="AG3" s="4">
        <f t="shared" si="1"/>
        <v>0.27467353156142776</v>
      </c>
      <c r="AH3">
        <f t="shared" si="2"/>
        <v>1</v>
      </c>
    </row>
    <row r="4" spans="1:34" x14ac:dyDescent="0.2">
      <c r="A4" t="s">
        <v>135</v>
      </c>
      <c r="B4" t="s">
        <v>136</v>
      </c>
      <c r="C4" t="s">
        <v>33</v>
      </c>
      <c r="D4" t="s">
        <v>20</v>
      </c>
      <c r="E4" s="3">
        <v>25514</v>
      </c>
      <c r="F4" s="3">
        <v>30268</v>
      </c>
      <c r="G4" s="3">
        <v>0</v>
      </c>
      <c r="H4" s="3">
        <v>55782</v>
      </c>
      <c r="I4">
        <v>0.36</v>
      </c>
      <c r="J4" s="6">
        <v>0.25567076999999999</v>
      </c>
      <c r="K4" s="6">
        <v>0.15046445999999999</v>
      </c>
      <c r="L4" t="s">
        <v>8</v>
      </c>
      <c r="M4">
        <v>0</v>
      </c>
      <c r="N4" s="3">
        <v>14261.826999999999</v>
      </c>
      <c r="O4" s="3">
        <v>8393.2086999999992</v>
      </c>
      <c r="P4" s="3">
        <v>22655.036</v>
      </c>
      <c r="Q4" s="3">
        <v>2037.4039</v>
      </c>
      <c r="R4" s="3">
        <v>12224.423000000001</v>
      </c>
      <c r="S4" s="3">
        <v>8393.2086999999992</v>
      </c>
      <c r="T4" s="3">
        <f t="shared" si="3"/>
        <v>185.58799029640394</v>
      </c>
      <c r="U4" s="3">
        <v>142.75999253569535</v>
      </c>
      <c r="V4" s="3">
        <v>229.91251531079635</v>
      </c>
      <c r="W4" s="3">
        <f t="shared" si="4"/>
        <v>222.70558835568474</v>
      </c>
      <c r="X4" s="3">
        <v>171.31199104283442</v>
      </c>
      <c r="Y4" s="3">
        <v>310.3818956695751</v>
      </c>
      <c r="Z4" s="3">
        <f t="shared" si="5"/>
        <v>453741.2342676667</v>
      </c>
      <c r="AA4" s="3">
        <f t="shared" si="6"/>
        <v>2094190.2434798193</v>
      </c>
      <c r="AB4" s="3">
        <f t="shared" si="7"/>
        <v>2605100.0270563699</v>
      </c>
      <c r="AC4" s="1">
        <f t="shared" si="8"/>
        <v>5153031.5048038559</v>
      </c>
      <c r="AD4">
        <f>VLOOKUP(A4,[1]Ark1!$A$3:$B$220, 2, FALSE)</f>
        <v>2.4152</v>
      </c>
      <c r="AE4">
        <f>VLOOKUP(B4,[2]Data!$B$5:$BM$270, 64, FALSE)</f>
        <v>50241368243.631424</v>
      </c>
      <c r="AF4">
        <f t="shared" si="0"/>
        <v>1213429525.8201861</v>
      </c>
      <c r="AG4" s="4">
        <f t="shared" si="1"/>
        <v>0.42466673137204231</v>
      </c>
      <c r="AH4">
        <f t="shared" si="2"/>
        <v>1</v>
      </c>
    </row>
    <row r="5" spans="1:34" x14ac:dyDescent="0.2">
      <c r="A5" t="s">
        <v>105</v>
      </c>
      <c r="B5" t="s">
        <v>106</v>
      </c>
      <c r="C5" t="s">
        <v>11</v>
      </c>
      <c r="D5" t="s">
        <v>7</v>
      </c>
      <c r="E5" s="3">
        <v>4094</v>
      </c>
      <c r="F5" s="3">
        <v>11100</v>
      </c>
      <c r="G5" s="3">
        <v>165174</v>
      </c>
      <c r="H5" s="3">
        <v>180368</v>
      </c>
      <c r="I5">
        <v>0.84</v>
      </c>
      <c r="J5" s="6">
        <v>1.538837E-2</v>
      </c>
      <c r="K5" s="6">
        <v>3.7371759999999997E-2</v>
      </c>
      <c r="L5" t="s">
        <v>8</v>
      </c>
      <c r="M5">
        <v>0</v>
      </c>
      <c r="N5" s="3">
        <v>2775.5700999999999</v>
      </c>
      <c r="O5" s="3">
        <v>6740.6701999999996</v>
      </c>
      <c r="P5" s="3">
        <v>9516.2404000000006</v>
      </c>
      <c r="Q5" s="3">
        <v>396.51001000000002</v>
      </c>
      <c r="R5" s="3">
        <v>2379.0601000000001</v>
      </c>
      <c r="S5" s="3">
        <v>6740.6701999999996</v>
      </c>
      <c r="T5" s="3">
        <f t="shared" si="3"/>
        <v>2358.3607779891613</v>
      </c>
      <c r="U5" s="3">
        <v>1814.123675376278</v>
      </c>
      <c r="V5" s="3">
        <v>2156.6621483446393</v>
      </c>
      <c r="W5" s="3">
        <f t="shared" si="4"/>
        <v>2830.0329335869933</v>
      </c>
      <c r="X5" s="3">
        <v>2176.9484104515336</v>
      </c>
      <c r="Y5" s="3">
        <v>2911.4939002652632</v>
      </c>
      <c r="Z5" s="3">
        <f t="shared" si="5"/>
        <v>1122136.3867969082</v>
      </c>
      <c r="AA5" s="3">
        <f t="shared" si="6"/>
        <v>5179091.1030636672</v>
      </c>
      <c r="AB5" s="3">
        <f t="shared" si="7"/>
        <v>19625420.170999829</v>
      </c>
      <c r="AC5" s="1">
        <f t="shared" si="8"/>
        <v>25926647.660860404</v>
      </c>
      <c r="AD5">
        <f>VLOOKUP(A5,[1]Ark1!$A$3:$B$220, 2, FALSE)</f>
        <v>5.0979999999999999</v>
      </c>
      <c r="AE5">
        <f>VLOOKUP(B5,[2]Data!$B$5:$BM$270, 64, FALSE)</f>
        <v>385540406815.59869</v>
      </c>
      <c r="AF5">
        <f t="shared" si="0"/>
        <v>19654849939.459221</v>
      </c>
      <c r="AG5" s="4">
        <f t="shared" si="1"/>
        <v>0.13190966983070107</v>
      </c>
      <c r="AH5">
        <f t="shared" si="2"/>
        <v>1</v>
      </c>
    </row>
    <row r="6" spans="1:34" x14ac:dyDescent="0.2">
      <c r="A6" t="s">
        <v>115</v>
      </c>
      <c r="B6" t="s">
        <v>116</v>
      </c>
      <c r="C6" t="s">
        <v>4</v>
      </c>
      <c r="D6" t="s">
        <v>7</v>
      </c>
      <c r="E6" s="3">
        <v>34634</v>
      </c>
      <c r="F6" s="3">
        <v>580</v>
      </c>
      <c r="G6" s="3">
        <v>0</v>
      </c>
      <c r="H6" s="3">
        <v>35214</v>
      </c>
      <c r="I6">
        <v>0.06</v>
      </c>
      <c r="J6" s="6">
        <v>0.18</v>
      </c>
      <c r="K6" s="6">
        <v>0.13</v>
      </c>
      <c r="L6" t="s">
        <v>8</v>
      </c>
      <c r="M6">
        <v>1</v>
      </c>
      <c r="N6" s="3">
        <v>6338.52</v>
      </c>
      <c r="O6" s="3">
        <v>4577.82</v>
      </c>
      <c r="P6" s="3">
        <v>10916.34</v>
      </c>
      <c r="Q6" s="3">
        <v>905.50286000000006</v>
      </c>
      <c r="R6" s="3">
        <v>5433.0171</v>
      </c>
      <c r="S6" s="3">
        <v>4577.82</v>
      </c>
      <c r="T6" s="3">
        <f t="shared" si="3"/>
        <v>907.63030940117778</v>
      </c>
      <c r="U6" s="3">
        <v>698.17716107782906</v>
      </c>
      <c r="V6" s="3">
        <v>686.48667720489232</v>
      </c>
      <c r="W6" s="3">
        <f t="shared" si="4"/>
        <v>1089.1563712814134</v>
      </c>
      <c r="X6" s="3">
        <v>837.8125932933948</v>
      </c>
      <c r="Y6" s="3">
        <v>926.75701422660472</v>
      </c>
      <c r="Z6" s="3">
        <f t="shared" si="5"/>
        <v>986234.2091825417</v>
      </c>
      <c r="AA6" s="3">
        <f t="shared" si="6"/>
        <v>4551850.1459583594</v>
      </c>
      <c r="AB6" s="3">
        <f t="shared" si="7"/>
        <v>4242526.7948668357</v>
      </c>
      <c r="AC6" s="1">
        <f t="shared" si="8"/>
        <v>9780611.1500077359</v>
      </c>
      <c r="AD6">
        <f>VLOOKUP(A6,[1]Ark1!$A$3:$B$220, 2, FALSE)</f>
        <v>2.7057000000000002</v>
      </c>
      <c r="AE6">
        <f>VLOOKUP(B6,[2]Data!$B$5:$BM$270, 64, FALSE)</f>
        <v>12641698593.790771</v>
      </c>
      <c r="AF6">
        <f t="shared" si="0"/>
        <v>342046438.85219693</v>
      </c>
      <c r="AG6" s="4">
        <f t="shared" si="1"/>
        <v>2.8594395494449443</v>
      </c>
      <c r="AH6">
        <f t="shared" si="2"/>
        <v>0</v>
      </c>
    </row>
    <row r="7" spans="1:34" x14ac:dyDescent="0.2">
      <c r="A7" t="s">
        <v>30</v>
      </c>
      <c r="B7" t="s">
        <v>31</v>
      </c>
      <c r="C7" t="s">
        <v>27</v>
      </c>
      <c r="D7" t="s">
        <v>20</v>
      </c>
      <c r="E7" s="3">
        <v>952384</v>
      </c>
      <c r="F7" s="3">
        <v>24</v>
      </c>
      <c r="G7" s="3">
        <v>0</v>
      </c>
      <c r="H7" s="3">
        <v>952408</v>
      </c>
      <c r="I7">
        <v>1</v>
      </c>
      <c r="J7" s="6">
        <v>0.22271794</v>
      </c>
      <c r="K7" s="6">
        <v>0.1406355</v>
      </c>
      <c r="L7" t="s">
        <v>32</v>
      </c>
      <c r="M7">
        <v>0</v>
      </c>
      <c r="N7" s="3">
        <v>212118.35</v>
      </c>
      <c r="O7" s="3">
        <v>133942.38</v>
      </c>
      <c r="P7" s="3">
        <v>346060.72</v>
      </c>
      <c r="Q7" s="3">
        <v>30302.620999999999</v>
      </c>
      <c r="R7" s="3">
        <v>181815.72</v>
      </c>
      <c r="S7" s="3">
        <v>133942.38</v>
      </c>
      <c r="T7" s="3">
        <f t="shared" si="3"/>
        <v>200.25524795776948</v>
      </c>
      <c r="U7" s="3">
        <v>154.04249842905344</v>
      </c>
      <c r="V7" s="3">
        <v>147.24635220287999</v>
      </c>
      <c r="W7" s="3">
        <f t="shared" si="4"/>
        <v>240.30629754932338</v>
      </c>
      <c r="X7" s="3">
        <v>184.85099811486413</v>
      </c>
      <c r="Y7" s="3">
        <v>198.78257547388799</v>
      </c>
      <c r="Z7" s="3">
        <f t="shared" si="5"/>
        <v>7281910.6585503751</v>
      </c>
      <c r="AA7" s="3">
        <f t="shared" si="6"/>
        <v>33608817.314972661</v>
      </c>
      <c r="AB7" s="3">
        <f t="shared" si="7"/>
        <v>26625411.261502188</v>
      </c>
      <c r="AC7" s="1">
        <f t="shared" si="8"/>
        <v>67516139.235025227</v>
      </c>
      <c r="AD7">
        <f>VLOOKUP(A7,[1]Ark1!$A$3:$B$220, 2, FALSE)</f>
        <v>1.2891999999999999</v>
      </c>
      <c r="AE7">
        <f>VLOOKUP(B7,[2]Data!$B$5:$BM$270, 64, FALSE)</f>
        <v>373902196399.31653</v>
      </c>
      <c r="AF7">
        <f t="shared" si="0"/>
        <v>4820347115.9799881</v>
      </c>
      <c r="AG7" s="4">
        <f t="shared" si="1"/>
        <v>1.4006489078598032</v>
      </c>
      <c r="AH7">
        <f t="shared" si="2"/>
        <v>0</v>
      </c>
    </row>
    <row r="8" spans="1:34" x14ac:dyDescent="0.2">
      <c r="A8" t="s">
        <v>99</v>
      </c>
      <c r="B8" t="s">
        <v>100</v>
      </c>
      <c r="C8" t="s">
        <v>4</v>
      </c>
      <c r="D8" t="s">
        <v>7</v>
      </c>
      <c r="E8" s="3">
        <v>19715</v>
      </c>
      <c r="F8" s="3">
        <v>639</v>
      </c>
      <c r="G8" s="3">
        <v>0</v>
      </c>
      <c r="H8" s="3">
        <v>20354</v>
      </c>
      <c r="I8">
        <v>0.16</v>
      </c>
      <c r="J8" s="6">
        <v>0.18</v>
      </c>
      <c r="K8" s="6">
        <v>0.13</v>
      </c>
      <c r="L8" t="s">
        <v>8</v>
      </c>
      <c r="M8">
        <v>1</v>
      </c>
      <c r="N8" s="3">
        <v>3663.72</v>
      </c>
      <c r="O8" s="3">
        <v>2646.02</v>
      </c>
      <c r="P8" s="3">
        <v>6309.74</v>
      </c>
      <c r="Q8" s="3">
        <v>523.38856999999996</v>
      </c>
      <c r="R8" s="3">
        <v>3140.3314</v>
      </c>
      <c r="S8" s="3">
        <v>2646.02</v>
      </c>
      <c r="T8" s="3">
        <f t="shared" si="3"/>
        <v>1551.7825689599999</v>
      </c>
      <c r="U8" s="3">
        <v>1193.6788991999999</v>
      </c>
      <c r="V8" s="3">
        <v>2485.6062623999997</v>
      </c>
      <c r="W8" s="3">
        <f t="shared" si="4"/>
        <v>1862.1390827519999</v>
      </c>
      <c r="X8" s="3">
        <v>1432.4146790399998</v>
      </c>
      <c r="Y8" s="3">
        <v>3355.5684542399999</v>
      </c>
      <c r="Z8" s="3">
        <f t="shared" si="5"/>
        <v>974622.31166268082</v>
      </c>
      <c r="AA8" s="3">
        <f t="shared" si="6"/>
        <v>4498256.7944102334</v>
      </c>
      <c r="AB8" s="3">
        <f t="shared" si="7"/>
        <v>8878901.2412881237</v>
      </c>
      <c r="AC8" s="1">
        <f t="shared" si="8"/>
        <v>14351780.347361038</v>
      </c>
      <c r="AD8">
        <f>VLOOKUP(A8,[1]Ark1!$A$3:$B$220, 2, FALSE)</f>
        <v>4.9523999999999999</v>
      </c>
      <c r="AE8">
        <f>VLOOKUP(B8,[2]Data!$B$5:$BM$270, 64, FALSE)</f>
        <v>61371755326.2351</v>
      </c>
      <c r="AF8">
        <f t="shared" si="0"/>
        <v>3039374810.7764668</v>
      </c>
      <c r="AG8" s="4">
        <f t="shared" si="1"/>
        <v>0.47219514672804042</v>
      </c>
      <c r="AH8">
        <f t="shared" si="2"/>
        <v>1</v>
      </c>
    </row>
    <row r="9" spans="1:34" x14ac:dyDescent="0.2">
      <c r="A9" t="s">
        <v>91</v>
      </c>
      <c r="B9" t="s">
        <v>92</v>
      </c>
      <c r="C9" t="s">
        <v>11</v>
      </c>
      <c r="D9" t="s">
        <v>20</v>
      </c>
      <c r="E9" s="3">
        <v>1116</v>
      </c>
      <c r="F9" s="3">
        <v>61</v>
      </c>
      <c r="G9" s="3">
        <v>13531</v>
      </c>
      <c r="H9" s="3">
        <v>14708</v>
      </c>
      <c r="J9" s="6">
        <v>0.18</v>
      </c>
      <c r="K9" s="6">
        <v>0.13</v>
      </c>
      <c r="L9" t="s">
        <v>8</v>
      </c>
      <c r="M9">
        <v>1</v>
      </c>
      <c r="N9" s="3">
        <v>2647.44</v>
      </c>
      <c r="O9" s="3">
        <v>1912.04</v>
      </c>
      <c r="P9" s="3">
        <v>4559.4799999999996</v>
      </c>
      <c r="Q9" s="3">
        <v>378.20571000000001</v>
      </c>
      <c r="R9" s="3">
        <v>2269.2343000000001</v>
      </c>
      <c r="S9" s="3">
        <v>1912.04</v>
      </c>
      <c r="T9" s="3">
        <f t="shared" si="3"/>
        <v>1442.6256218951514</v>
      </c>
      <c r="U9" s="3">
        <v>1109.7120168424242</v>
      </c>
      <c r="V9" s="3">
        <v>888.21071835625935</v>
      </c>
      <c r="W9" s="3">
        <f t="shared" si="4"/>
        <v>1731.1507462741818</v>
      </c>
      <c r="X9" s="3">
        <v>1331.6544202109089</v>
      </c>
      <c r="Y9" s="3">
        <v>1199.0844697809503</v>
      </c>
      <c r="Z9" s="3">
        <f t="shared" si="5"/>
        <v>654731.0971116568</v>
      </c>
      <c r="AA9" s="3">
        <f t="shared" si="6"/>
        <v>3021835.8860892081</v>
      </c>
      <c r="AB9" s="3">
        <f t="shared" si="7"/>
        <v>2292697.4695999683</v>
      </c>
      <c r="AC9" s="1">
        <f t="shared" si="8"/>
        <v>5969264.4528008327</v>
      </c>
      <c r="AD9" s="19">
        <v>8.9572000000000003</v>
      </c>
      <c r="AE9">
        <f>VLOOKUP(B9,[2]Data!$B$5:$BM$270, 64, FALSE)</f>
        <v>36629843806.078148</v>
      </c>
      <c r="AF9">
        <f t="shared" si="0"/>
        <v>3281008369.3980317</v>
      </c>
      <c r="AG9" s="4">
        <f t="shared" si="1"/>
        <v>0.18193383803821314</v>
      </c>
      <c r="AH9">
        <f t="shared" si="2"/>
        <v>1</v>
      </c>
    </row>
    <row r="10" spans="1:34" x14ac:dyDescent="0.2">
      <c r="A10" t="s">
        <v>16</v>
      </c>
      <c r="B10" t="s">
        <v>17</v>
      </c>
      <c r="C10" t="s">
        <v>11</v>
      </c>
      <c r="D10" t="s">
        <v>7</v>
      </c>
      <c r="E10" s="3">
        <v>67522</v>
      </c>
      <c r="F10" s="3">
        <v>206764</v>
      </c>
      <c r="G10" s="3">
        <v>264040</v>
      </c>
      <c r="H10" s="3">
        <v>538326</v>
      </c>
      <c r="J10" s="6">
        <v>0.18</v>
      </c>
      <c r="K10" s="6">
        <v>0.13</v>
      </c>
      <c r="L10" t="s">
        <v>8</v>
      </c>
      <c r="M10">
        <v>1</v>
      </c>
      <c r="N10" s="3">
        <v>96898.68</v>
      </c>
      <c r="O10" s="3">
        <v>69982.38</v>
      </c>
      <c r="P10" s="3">
        <v>166881.06</v>
      </c>
      <c r="Q10" s="3">
        <v>13842.669</v>
      </c>
      <c r="R10" s="3">
        <v>83056.010999999999</v>
      </c>
      <c r="S10" s="3">
        <v>69982.38</v>
      </c>
      <c r="T10" s="3">
        <f t="shared" si="3"/>
        <v>2569.3478294494985</v>
      </c>
      <c r="U10" s="3">
        <v>1976.4214072688451</v>
      </c>
      <c r="V10" s="3">
        <v>2034.0229667084477</v>
      </c>
      <c r="W10" s="3">
        <f t="shared" si="4"/>
        <v>3083.2173953393981</v>
      </c>
      <c r="X10" s="3">
        <v>2371.705688722614</v>
      </c>
      <c r="Y10" s="3">
        <v>2745.9310050564045</v>
      </c>
      <c r="Z10" s="3">
        <f t="shared" si="5"/>
        <v>42679957.858725429</v>
      </c>
      <c r="AA10" s="3">
        <f t="shared" si="6"/>
        <v>196984413.771308</v>
      </c>
      <c r="AB10" s="3">
        <f t="shared" si="7"/>
        <v>192166787.04963923</v>
      </c>
      <c r="AC10" s="1">
        <f t="shared" si="8"/>
        <v>431831158.67967266</v>
      </c>
      <c r="AD10">
        <f>VLOOKUP(A10,[1]Ark1!$A$3:$B$220, 2, FALSE)</f>
        <v>5.7744</v>
      </c>
      <c r="AE10">
        <f>VLOOKUP(B10,[2]Data!$B$5:$BM$270, 64, FALSE)</f>
        <v>1476107292036.5889</v>
      </c>
      <c r="AF10">
        <f t="shared" si="0"/>
        <v>85236339471.360779</v>
      </c>
      <c r="AG10" s="4">
        <f t="shared" si="1"/>
        <v>0.50662799617851606</v>
      </c>
      <c r="AH10">
        <f t="shared" si="2"/>
        <v>1</v>
      </c>
    </row>
    <row r="11" spans="1:34" x14ac:dyDescent="0.2">
      <c r="A11" t="s">
        <v>157</v>
      </c>
      <c r="B11" t="s">
        <v>158</v>
      </c>
      <c r="C11" t="s">
        <v>4</v>
      </c>
      <c r="D11" t="s">
        <v>7</v>
      </c>
      <c r="E11" s="3">
        <v>176297</v>
      </c>
      <c r="F11" s="3">
        <v>11165</v>
      </c>
      <c r="G11" s="3">
        <v>0</v>
      </c>
      <c r="H11" s="3">
        <v>187462</v>
      </c>
      <c r="J11" s="6">
        <v>0.18</v>
      </c>
      <c r="K11" s="6">
        <v>0.13</v>
      </c>
      <c r="L11" t="s">
        <v>8</v>
      </c>
      <c r="M11">
        <v>1</v>
      </c>
      <c r="N11" s="3">
        <v>33743.160000000003</v>
      </c>
      <c r="O11" s="3">
        <v>24370.06</v>
      </c>
      <c r="P11" s="3">
        <v>58113.22</v>
      </c>
      <c r="Q11" s="3">
        <v>4820.4513999999999</v>
      </c>
      <c r="R11" s="3">
        <v>28922.708999999999</v>
      </c>
      <c r="S11" s="3">
        <v>24370.06</v>
      </c>
      <c r="T11" s="3">
        <f t="shared" si="3"/>
        <v>3450.0143854115322</v>
      </c>
      <c r="U11" s="3">
        <v>2653.8572195473325</v>
      </c>
      <c r="V11" s="3">
        <v>2873.1552438483272</v>
      </c>
      <c r="W11" s="3">
        <f t="shared" si="4"/>
        <v>4140.0172624938386</v>
      </c>
      <c r="X11" s="3">
        <v>3184.6286634567991</v>
      </c>
      <c r="Y11" s="3">
        <v>3878.7595791952422</v>
      </c>
      <c r="Z11" s="3">
        <f t="shared" si="5"/>
        <v>19956752.009012591</v>
      </c>
      <c r="AA11" s="3">
        <f t="shared" si="6"/>
        <v>92108088.106219932</v>
      </c>
      <c r="AB11" s="3">
        <f t="shared" si="7"/>
        <v>94525603.670562804</v>
      </c>
      <c r="AC11" s="1">
        <f t="shared" si="8"/>
        <v>206590443.78579533</v>
      </c>
      <c r="AD11">
        <f>VLOOKUP(A11,[1]Ark1!$A$3:$B$220, 2, FALSE)</f>
        <v>4.3895</v>
      </c>
      <c r="AE11">
        <f>VLOOKUP(B11,[2]Data!$B$5:$BM$270, 64, FALSE)</f>
        <v>70404359049.232025</v>
      </c>
      <c r="AF11">
        <f t="shared" si="0"/>
        <v>3090399340.4660397</v>
      </c>
      <c r="AG11" s="4">
        <f t="shared" si="1"/>
        <v>6.6849109459957683</v>
      </c>
      <c r="AH11">
        <f t="shared" si="2"/>
        <v>0</v>
      </c>
    </row>
    <row r="12" spans="1:34" x14ac:dyDescent="0.2">
      <c r="A12" t="s">
        <v>119</v>
      </c>
      <c r="B12" t="s">
        <v>120</v>
      </c>
      <c r="C12" t="s">
        <v>33</v>
      </c>
      <c r="D12" t="s">
        <v>36</v>
      </c>
      <c r="E12" s="3">
        <v>34375</v>
      </c>
      <c r="F12" s="3">
        <v>551</v>
      </c>
      <c r="G12" s="3">
        <v>0</v>
      </c>
      <c r="H12" s="3">
        <v>34926</v>
      </c>
      <c r="I12">
        <v>1</v>
      </c>
      <c r="J12" s="6">
        <v>0.28619635999999998</v>
      </c>
      <c r="K12" s="6">
        <v>0.14955636</v>
      </c>
      <c r="L12" t="s">
        <v>32</v>
      </c>
      <c r="M12">
        <v>0</v>
      </c>
      <c r="N12" s="3">
        <v>9995.6941999999999</v>
      </c>
      <c r="O12" s="3">
        <v>5223.4056</v>
      </c>
      <c r="P12" s="3">
        <v>15219.1</v>
      </c>
      <c r="Q12" s="3">
        <v>1427.9563000000001</v>
      </c>
      <c r="R12" s="3">
        <v>8567.7379000000001</v>
      </c>
      <c r="S12" s="3">
        <v>5223.4056</v>
      </c>
      <c r="T12" s="3">
        <f t="shared" si="3"/>
        <v>215.93638907602605</v>
      </c>
      <c r="U12" s="3">
        <v>166.10491467386618</v>
      </c>
      <c r="V12" s="3">
        <v>267.34004571731657</v>
      </c>
      <c r="W12" s="3">
        <f t="shared" si="4"/>
        <v>259.12366689123127</v>
      </c>
      <c r="X12" s="3">
        <v>199.32589760863939</v>
      </c>
      <c r="Y12" s="3">
        <v>360.90906171837742</v>
      </c>
      <c r="Z12" s="3">
        <f t="shared" si="5"/>
        <v>370017.27261643513</v>
      </c>
      <c r="AA12" s="3">
        <f t="shared" si="6"/>
        <v>1707772.0473930591</v>
      </c>
      <c r="AB12" s="3">
        <f t="shared" si="7"/>
        <v>1885174.4140705182</v>
      </c>
      <c r="AC12" s="1">
        <f t="shared" si="8"/>
        <v>3962963.7340800124</v>
      </c>
      <c r="AD12">
        <f>VLOOKUP(A12,[1]Ark1!$A$3:$B$220, 2, FALSE)</f>
        <v>5.5190999999999999</v>
      </c>
      <c r="AE12">
        <f>VLOOKUP(B12,[2]Data!$B$5:$BM$270, 64, FALSE)</f>
        <v>17933606212.629368</v>
      </c>
      <c r="AF12">
        <f t="shared" si="0"/>
        <v>989773660.4812274</v>
      </c>
      <c r="AG12" s="4">
        <f t="shared" si="1"/>
        <v>0.40039090676076605</v>
      </c>
      <c r="AH12">
        <f t="shared" si="2"/>
        <v>1</v>
      </c>
    </row>
    <row r="13" spans="1:34" x14ac:dyDescent="0.2">
      <c r="A13" t="s">
        <v>145</v>
      </c>
      <c r="B13" t="s">
        <v>146</v>
      </c>
      <c r="C13" t="s">
        <v>33</v>
      </c>
      <c r="D13" t="s">
        <v>36</v>
      </c>
      <c r="E13" s="3">
        <v>84636</v>
      </c>
      <c r="F13" s="3">
        <v>3950</v>
      </c>
      <c r="G13" s="3">
        <v>0</v>
      </c>
      <c r="H13" s="3">
        <v>88586</v>
      </c>
      <c r="I13">
        <v>1</v>
      </c>
      <c r="J13" s="6">
        <v>0.21811050000000001</v>
      </c>
      <c r="K13" s="6">
        <v>0.17119192999999999</v>
      </c>
      <c r="L13" t="s">
        <v>32</v>
      </c>
      <c r="M13">
        <v>0</v>
      </c>
      <c r="N13" s="3">
        <v>19321.536</v>
      </c>
      <c r="O13" s="3">
        <v>15165.208000000001</v>
      </c>
      <c r="P13" s="3">
        <v>34486.745000000003</v>
      </c>
      <c r="Q13" s="3">
        <v>2760.2195000000002</v>
      </c>
      <c r="R13" s="3">
        <v>16561.316999999999</v>
      </c>
      <c r="S13" s="3">
        <v>15165.208000000001</v>
      </c>
      <c r="T13" s="3">
        <f t="shared" si="3"/>
        <v>60.420806025976027</v>
      </c>
      <c r="U13" s="3">
        <v>46.477543096904633</v>
      </c>
      <c r="V13" s="3">
        <v>122.01187700418123</v>
      </c>
      <c r="W13" s="3">
        <f t="shared" si="4"/>
        <v>72.504967231171236</v>
      </c>
      <c r="X13" s="3">
        <v>55.773051716285558</v>
      </c>
      <c r="Y13" s="3">
        <v>164.71603395564466</v>
      </c>
      <c r="Z13" s="3">
        <f t="shared" si="5"/>
        <v>200129.62439833986</v>
      </c>
      <c r="AA13" s="3">
        <f t="shared" si="6"/>
        <v>923675.18953079917</v>
      </c>
      <c r="AB13" s="3">
        <f t="shared" si="7"/>
        <v>2497952.9158724141</v>
      </c>
      <c r="AC13" s="1">
        <f t="shared" si="8"/>
        <v>3621757.7298015533</v>
      </c>
      <c r="AD13">
        <f>VLOOKUP(A13,[1]Ark1!$A$3:$B$220, 2, FALSE)</f>
        <v>5.0410000000000004</v>
      </c>
      <c r="AE13">
        <f>VLOOKUP(B13,[2]Data!$B$5:$BM$270, 64, FALSE)</f>
        <v>2649680261.0109677</v>
      </c>
      <c r="AF13">
        <f t="shared" si="0"/>
        <v>133570381.95756289</v>
      </c>
      <c r="AG13" s="4">
        <f t="shared" si="1"/>
        <v>2.7114976214953361</v>
      </c>
      <c r="AH13">
        <f t="shared" si="2"/>
        <v>0</v>
      </c>
    </row>
    <row r="14" spans="1:34" x14ac:dyDescent="0.2">
      <c r="A14" t="s">
        <v>47</v>
      </c>
      <c r="B14" t="s">
        <v>48</v>
      </c>
      <c r="C14" t="s">
        <v>33</v>
      </c>
      <c r="D14" t="s">
        <v>20</v>
      </c>
      <c r="E14" s="3">
        <v>473887</v>
      </c>
      <c r="F14" s="3">
        <v>9247</v>
      </c>
      <c r="G14" s="3">
        <v>0</v>
      </c>
      <c r="H14" s="3">
        <v>483134</v>
      </c>
      <c r="I14">
        <v>0.98</v>
      </c>
      <c r="J14" s="6">
        <v>0.25456694000000002</v>
      </c>
      <c r="K14" s="6">
        <v>0.15065211000000001</v>
      </c>
      <c r="L14" t="s">
        <v>64</v>
      </c>
      <c r="M14">
        <v>0</v>
      </c>
      <c r="N14" s="3">
        <v>122989.94</v>
      </c>
      <c r="O14" s="3">
        <v>72785.157999999996</v>
      </c>
      <c r="P14" s="3">
        <v>195775.1</v>
      </c>
      <c r="Q14" s="3">
        <v>17569.991999999998</v>
      </c>
      <c r="R14" s="3">
        <v>105419.95</v>
      </c>
      <c r="S14" s="3">
        <v>72785.157999999996</v>
      </c>
      <c r="T14" s="3">
        <f t="shared" si="3"/>
        <v>132.20037815940054</v>
      </c>
      <c r="U14" s="3">
        <v>101.69259858415427</v>
      </c>
      <c r="V14" s="3">
        <v>324.32235325718426</v>
      </c>
      <c r="W14" s="3">
        <f t="shared" si="4"/>
        <v>158.64045379128063</v>
      </c>
      <c r="X14" s="3">
        <v>122.03111830098511</v>
      </c>
      <c r="Y14" s="3">
        <v>437.83517689719878</v>
      </c>
      <c r="Z14" s="3">
        <f t="shared" si="5"/>
        <v>2787311.5039891703</v>
      </c>
      <c r="AA14" s="3">
        <f t="shared" si="6"/>
        <v>12864514.389733935</v>
      </c>
      <c r="AB14" s="3">
        <f t="shared" si="7"/>
        <v>31867902.52842056</v>
      </c>
      <c r="AC14" s="1">
        <f t="shared" si="8"/>
        <v>47519728.422143668</v>
      </c>
      <c r="AD14">
        <f>VLOOKUP(A14,[1]Ark1!$A$3:$B$220, 2, FALSE)</f>
        <v>3.1661999999999999</v>
      </c>
      <c r="AE14">
        <f>VLOOKUP(B14,[2]Data!$B$5:$BM$270, 64, FALSE)</f>
        <v>40773241211.694084</v>
      </c>
      <c r="AF14">
        <f t="shared" si="0"/>
        <v>1290962363.244658</v>
      </c>
      <c r="AG14" s="4">
        <f t="shared" si="1"/>
        <v>3.6809538198084497</v>
      </c>
      <c r="AH14">
        <f t="shared" si="2"/>
        <v>0</v>
      </c>
    </row>
    <row r="15" spans="1:34" x14ac:dyDescent="0.2">
      <c r="A15" t="s">
        <v>89</v>
      </c>
      <c r="B15" t="s">
        <v>90</v>
      </c>
      <c r="C15" t="s">
        <v>33</v>
      </c>
      <c r="D15" t="s">
        <v>36</v>
      </c>
      <c r="E15" s="3">
        <v>11213</v>
      </c>
      <c r="F15" s="3">
        <v>470</v>
      </c>
      <c r="G15" s="3">
        <v>0</v>
      </c>
      <c r="H15" s="3">
        <v>11683</v>
      </c>
      <c r="I15">
        <v>1</v>
      </c>
      <c r="J15" s="6">
        <v>0.25399090000000002</v>
      </c>
      <c r="K15" s="6">
        <v>0.13341657000000001</v>
      </c>
      <c r="L15" t="s">
        <v>32</v>
      </c>
      <c r="M15">
        <v>0</v>
      </c>
      <c r="N15" s="3">
        <v>2967.3757000000001</v>
      </c>
      <c r="O15" s="3">
        <v>1558.7058</v>
      </c>
      <c r="P15" s="3">
        <v>4526.0815000000002</v>
      </c>
      <c r="Q15" s="3">
        <v>423.91082</v>
      </c>
      <c r="R15" s="3">
        <v>2543.4648999999999</v>
      </c>
      <c r="S15" s="3">
        <v>1558.7058</v>
      </c>
      <c r="T15" s="3">
        <f t="shared" si="3"/>
        <v>24.986000000000001</v>
      </c>
      <c r="U15" s="3">
        <v>19.22</v>
      </c>
      <c r="V15" s="3">
        <v>69.61</v>
      </c>
      <c r="W15" s="3">
        <f t="shared" si="4"/>
        <v>29.9832</v>
      </c>
      <c r="X15" s="3">
        <v>23.063999999999997</v>
      </c>
      <c r="Y15" s="3">
        <v>93.973500000000001</v>
      </c>
      <c r="Z15" s="3">
        <f t="shared" si="5"/>
        <v>12710.202898224001</v>
      </c>
      <c r="AA15" s="3">
        <f t="shared" si="6"/>
        <v>58662.474453599993</v>
      </c>
      <c r="AB15" s="3">
        <f t="shared" si="7"/>
        <v>146477.03949629999</v>
      </c>
      <c r="AC15" s="1">
        <f t="shared" si="8"/>
        <v>217849.71684812399</v>
      </c>
      <c r="AD15">
        <f>VLOOKUP(A15,[1]Ark1!$A$3:$B$220, 2, FALSE)</f>
        <v>2.1667000000000001</v>
      </c>
      <c r="AE15">
        <f>VLOOKUP(B15,[2]Data!$B$5:$BM$270, 64, FALSE)</f>
        <v>2326720902.3574061</v>
      </c>
      <c r="AF15">
        <f t="shared" si="0"/>
        <v>50413061.791377924</v>
      </c>
      <c r="AG15" s="4">
        <f t="shared" si="1"/>
        <v>0.43212950990686017</v>
      </c>
      <c r="AH15">
        <f t="shared" si="2"/>
        <v>1</v>
      </c>
    </row>
    <row r="16" spans="1:34" x14ac:dyDescent="0.2">
      <c r="A16" t="s">
        <v>45</v>
      </c>
      <c r="B16" t="s">
        <v>46</v>
      </c>
      <c r="C16" t="s">
        <v>33</v>
      </c>
      <c r="D16" t="s">
        <v>36</v>
      </c>
      <c r="E16" s="3">
        <v>592764</v>
      </c>
      <c r="F16" s="3">
        <v>4953</v>
      </c>
      <c r="G16" s="3">
        <v>0</v>
      </c>
      <c r="H16" s="3">
        <v>597717</v>
      </c>
      <c r="I16">
        <v>0.94</v>
      </c>
      <c r="J16" s="6">
        <v>0.21558326999999999</v>
      </c>
      <c r="K16" s="6">
        <v>0.14877422000000001</v>
      </c>
      <c r="L16" t="s">
        <v>32</v>
      </c>
      <c r="M16">
        <v>0</v>
      </c>
      <c r="N16" s="3">
        <v>128857.78</v>
      </c>
      <c r="O16" s="3">
        <v>88924.879000000001</v>
      </c>
      <c r="P16" s="3">
        <v>217782.66</v>
      </c>
      <c r="Q16" s="3">
        <v>18408.255000000001</v>
      </c>
      <c r="R16" s="3">
        <v>110449.53</v>
      </c>
      <c r="S16" s="3">
        <v>88924.879000000001</v>
      </c>
      <c r="T16" s="3">
        <f t="shared" si="3"/>
        <v>66.205620614830337</v>
      </c>
      <c r="U16" s="3">
        <v>50.927400472946417</v>
      </c>
      <c r="V16" s="3">
        <v>135.69484219814768</v>
      </c>
      <c r="W16" s="3">
        <f t="shared" si="4"/>
        <v>79.446744737796408</v>
      </c>
      <c r="X16" s="3">
        <v>61.112880567535697</v>
      </c>
      <c r="Y16" s="3">
        <v>183.18803696749939</v>
      </c>
      <c r="Z16" s="3">
        <f t="shared" si="5"/>
        <v>1462475.9360532644</v>
      </c>
      <c r="AA16" s="3">
        <f t="shared" si="6"/>
        <v>6749888.935630451</v>
      </c>
      <c r="AB16" s="3">
        <f t="shared" si="7"/>
        <v>16289974.02158241</v>
      </c>
      <c r="AC16" s="1">
        <f t="shared" si="8"/>
        <v>24502338.893266127</v>
      </c>
      <c r="AD16">
        <f>VLOOKUP(A16,[1]Ark1!$A$3:$B$220, 2, FALSE)</f>
        <v>2.9085000000000001</v>
      </c>
      <c r="AE16">
        <f>VLOOKUP(B16,[2]Data!$B$5:$BM$270, 64, FALSE)</f>
        <v>10715396051.438772</v>
      </c>
      <c r="AF16">
        <f t="shared" si="0"/>
        <v>311657294.1560967</v>
      </c>
      <c r="AG16" s="4">
        <f t="shared" si="1"/>
        <v>7.8619494402059091</v>
      </c>
      <c r="AH16">
        <f t="shared" si="2"/>
        <v>0</v>
      </c>
    </row>
    <row r="17" spans="1:34" x14ac:dyDescent="0.2">
      <c r="A17" t="s">
        <v>12</v>
      </c>
      <c r="B17" t="s">
        <v>13</v>
      </c>
      <c r="C17" t="s">
        <v>11</v>
      </c>
      <c r="D17" t="s">
        <v>7</v>
      </c>
      <c r="E17" s="3">
        <v>1607</v>
      </c>
      <c r="F17" s="3">
        <v>22675</v>
      </c>
      <c r="G17" s="3">
        <v>2500000</v>
      </c>
      <c r="H17" s="3">
        <v>2500000</v>
      </c>
      <c r="I17">
        <v>1</v>
      </c>
      <c r="J17" s="6">
        <v>0.10123878</v>
      </c>
      <c r="K17" s="6">
        <v>0.10126323</v>
      </c>
      <c r="L17" t="s">
        <v>8</v>
      </c>
      <c r="M17">
        <v>0</v>
      </c>
      <c r="N17" s="3">
        <v>250884.28</v>
      </c>
      <c r="O17" s="3">
        <v>250944.87</v>
      </c>
      <c r="P17" s="3">
        <v>501829.15</v>
      </c>
      <c r="Q17" s="3">
        <v>35840.610999999997</v>
      </c>
      <c r="R17" s="3">
        <v>215043.67</v>
      </c>
      <c r="S17" s="3">
        <v>250944.87</v>
      </c>
      <c r="T17" s="3">
        <f t="shared" si="3"/>
        <v>2127.9124240641277</v>
      </c>
      <c r="U17" s="3">
        <v>1636.8557108185598</v>
      </c>
      <c r="V17" s="3">
        <v>1642.1891207482336</v>
      </c>
      <c r="W17" s="3">
        <f t="shared" si="4"/>
        <v>2553.4949088769531</v>
      </c>
      <c r="X17" s="3">
        <v>1964.2268529822718</v>
      </c>
      <c r="Y17" s="3">
        <v>2216.9553130101153</v>
      </c>
      <c r="Z17" s="3">
        <f t="shared" si="5"/>
        <v>91518817.719539315</v>
      </c>
      <c r="AA17" s="3">
        <f t="shared" si="6"/>
        <v>422394551.17785817</v>
      </c>
      <c r="AB17" s="3">
        <f t="shared" si="7"/>
        <v>556333562.81913269</v>
      </c>
      <c r="AC17" s="1">
        <f t="shared" si="8"/>
        <v>1070246931.7165302</v>
      </c>
      <c r="AD17">
        <f>VLOOKUP(A17,[1]Ark1!$A$3:$B$220, 2, FALSE)</f>
        <v>4.9330999999999996</v>
      </c>
      <c r="AE17">
        <f>VLOOKUP(B17,[2]Data!$B$5:$BM$270, 64, FALSE)</f>
        <v>270150956772.56732</v>
      </c>
      <c r="AF17">
        <f t="shared" si="0"/>
        <v>13326816848.547516</v>
      </c>
      <c r="AG17" s="4">
        <f t="shared" si="1"/>
        <v>8.0307769205455539</v>
      </c>
      <c r="AH17">
        <f t="shared" si="2"/>
        <v>0</v>
      </c>
    </row>
    <row r="18" spans="1:34" x14ac:dyDescent="0.2">
      <c r="A18" t="s">
        <v>127</v>
      </c>
      <c r="B18" t="s">
        <v>128</v>
      </c>
      <c r="C18" t="s">
        <v>33</v>
      </c>
      <c r="D18" t="s">
        <v>20</v>
      </c>
      <c r="E18" s="3">
        <v>41557</v>
      </c>
      <c r="F18" s="3">
        <v>18356</v>
      </c>
      <c r="G18" s="3">
        <v>0</v>
      </c>
      <c r="H18" s="3">
        <v>59913</v>
      </c>
      <c r="I18">
        <v>1</v>
      </c>
      <c r="J18" s="6">
        <v>0.17919964999999999</v>
      </c>
      <c r="K18" s="6">
        <v>0.15925115000000001</v>
      </c>
      <c r="L18" t="s">
        <v>64</v>
      </c>
      <c r="M18">
        <v>0</v>
      </c>
      <c r="N18" s="3">
        <v>10736.388999999999</v>
      </c>
      <c r="O18" s="3">
        <v>9541.2140999999992</v>
      </c>
      <c r="P18" s="3">
        <v>20277.602999999999</v>
      </c>
      <c r="Q18" s="3">
        <v>1533.7698</v>
      </c>
      <c r="R18" s="3">
        <v>9202.6190000000006</v>
      </c>
      <c r="S18" s="3">
        <v>9541.2140999999992</v>
      </c>
      <c r="T18" s="3">
        <f t="shared" si="3"/>
        <v>381.88799999999998</v>
      </c>
      <c r="U18" s="3">
        <v>293.76</v>
      </c>
      <c r="V18" s="3">
        <v>416.15999999999997</v>
      </c>
      <c r="W18" s="3">
        <f t="shared" si="4"/>
        <v>458.26559999999995</v>
      </c>
      <c r="X18" s="3">
        <v>352.512</v>
      </c>
      <c r="Y18" s="3">
        <v>561.81600000000003</v>
      </c>
      <c r="Z18" s="3">
        <f t="shared" si="5"/>
        <v>702873.93765887991</v>
      </c>
      <c r="AA18" s="3">
        <f t="shared" si="6"/>
        <v>3244033.6289280001</v>
      </c>
      <c r="AB18" s="3">
        <f t="shared" si="7"/>
        <v>5360406.7408055998</v>
      </c>
      <c r="AC18" s="1">
        <f t="shared" si="8"/>
        <v>9307314.3073924799</v>
      </c>
      <c r="AD18" s="19">
        <v>4.4485999999999999</v>
      </c>
      <c r="AE18">
        <f>VLOOKUP(B18,[2]Data!$B$5:$BM$270, 64, FALSE)</f>
        <v>10483151093.687271</v>
      </c>
      <c r="AF18">
        <f t="shared" si="0"/>
        <v>466353459.55377191</v>
      </c>
      <c r="AG18" s="4">
        <f t="shared" si="1"/>
        <v>1.9957639675919074</v>
      </c>
      <c r="AH18">
        <f t="shared" si="2"/>
        <v>0</v>
      </c>
    </row>
    <row r="19" spans="1:34" x14ac:dyDescent="0.2">
      <c r="A19" t="s">
        <v>123</v>
      </c>
      <c r="B19" t="s">
        <v>124</v>
      </c>
      <c r="C19" t="s">
        <v>11</v>
      </c>
      <c r="D19" t="s">
        <v>7</v>
      </c>
      <c r="E19" s="3">
        <v>14088</v>
      </c>
      <c r="F19" s="3">
        <v>239640</v>
      </c>
      <c r="G19" s="3">
        <v>16598</v>
      </c>
      <c r="H19" s="3">
        <v>270326</v>
      </c>
      <c r="I19">
        <v>0.5</v>
      </c>
      <c r="J19" s="6">
        <v>3.953127E-2</v>
      </c>
      <c r="K19" s="6">
        <v>3.3178029999999997E-2</v>
      </c>
      <c r="L19" t="s">
        <v>8</v>
      </c>
      <c r="M19">
        <v>0</v>
      </c>
      <c r="N19" s="3">
        <v>10686.331</v>
      </c>
      <c r="O19" s="3">
        <v>8968.8847000000005</v>
      </c>
      <c r="P19" s="3">
        <v>19655.215</v>
      </c>
      <c r="Q19" s="3">
        <v>1526.6187</v>
      </c>
      <c r="R19" s="3">
        <v>9159.7119999999995</v>
      </c>
      <c r="S19" s="3">
        <v>8968.8847000000005</v>
      </c>
      <c r="T19" s="3">
        <f t="shared" si="3"/>
        <v>3990.3458498910586</v>
      </c>
      <c r="U19" s="3">
        <v>3069.4968076085065</v>
      </c>
      <c r="V19" s="3">
        <v>3311.5170937511084</v>
      </c>
      <c r="W19" s="3">
        <f t="shared" si="4"/>
        <v>4788.4150198692705</v>
      </c>
      <c r="X19" s="3">
        <v>3683.3961691302079</v>
      </c>
      <c r="Y19" s="3">
        <v>4470.5480765639968</v>
      </c>
      <c r="Z19" s="3">
        <f t="shared" si="5"/>
        <v>7310083.9126933003</v>
      </c>
      <c r="AA19" s="3">
        <f t="shared" si="6"/>
        <v>33738848.091135994</v>
      </c>
      <c r="AB19" s="3">
        <f t="shared" si="7"/>
        <v>40095830.244509265</v>
      </c>
      <c r="AC19" s="1">
        <f t="shared" si="8"/>
        <v>81144762.24833855</v>
      </c>
      <c r="AD19">
        <f>VLOOKUP(A19,[1]Ark1!$A$3:$B$220, 2, FALSE)</f>
        <v>6.7107000000000001</v>
      </c>
      <c r="AE19">
        <f>VLOOKUP(B19,[2]Data!$B$5:$BM$270, 64, FALSE)</f>
        <v>62395610764.070541</v>
      </c>
      <c r="AF19">
        <f t="shared" si="0"/>
        <v>4187182251.5444818</v>
      </c>
      <c r="AG19" s="4">
        <f t="shared" si="1"/>
        <v>1.9379324178785753</v>
      </c>
      <c r="AH19">
        <f t="shared" si="2"/>
        <v>0</v>
      </c>
    </row>
    <row r="20" spans="1:34" x14ac:dyDescent="0.2">
      <c r="A20" t="s">
        <v>41</v>
      </c>
      <c r="B20" t="s">
        <v>42</v>
      </c>
      <c r="C20" t="s">
        <v>33</v>
      </c>
      <c r="D20" t="s">
        <v>36</v>
      </c>
      <c r="E20" s="3">
        <v>520544</v>
      </c>
      <c r="F20" s="3">
        <v>2147</v>
      </c>
      <c r="G20" s="3">
        <v>0</v>
      </c>
      <c r="H20" s="3">
        <v>522691</v>
      </c>
      <c r="I20">
        <v>1</v>
      </c>
      <c r="J20" s="6">
        <v>0.27513908999999998</v>
      </c>
      <c r="K20" s="6">
        <v>0.17659794000000001</v>
      </c>
      <c r="L20" t="s">
        <v>32</v>
      </c>
      <c r="M20">
        <v>0</v>
      </c>
      <c r="N20" s="3">
        <v>143812.72</v>
      </c>
      <c r="O20" s="3">
        <v>92306.156000000003</v>
      </c>
      <c r="P20" s="3">
        <v>236118.88</v>
      </c>
      <c r="Q20" s="3">
        <v>20544.674999999999</v>
      </c>
      <c r="R20" s="3">
        <v>123268.05</v>
      </c>
      <c r="S20" s="3">
        <v>92306.156000000003</v>
      </c>
      <c r="T20" s="3">
        <f t="shared" si="3"/>
        <v>60.672932537908707</v>
      </c>
      <c r="U20" s="3">
        <v>46.671486567622082</v>
      </c>
      <c r="V20" s="3">
        <v>41.092976049586376</v>
      </c>
      <c r="W20" s="3">
        <f t="shared" si="4"/>
        <v>72.807519045490452</v>
      </c>
      <c r="X20" s="3">
        <v>56.005783881146499</v>
      </c>
      <c r="Y20" s="3">
        <v>55.475517666941613</v>
      </c>
      <c r="Z20" s="3">
        <f t="shared" si="5"/>
        <v>1495806.8163459115</v>
      </c>
      <c r="AA20" s="3">
        <f t="shared" si="6"/>
        <v>6903723.767750361</v>
      </c>
      <c r="AB20" s="3">
        <f t="shared" si="7"/>
        <v>5120731.7879454689</v>
      </c>
      <c r="AC20" s="1">
        <f t="shared" si="8"/>
        <v>13520262.37204174</v>
      </c>
      <c r="AD20" s="19">
        <v>1.6756</v>
      </c>
      <c r="AE20">
        <f>VLOOKUP(B20,[2]Data!$B$5:$BM$270, 64, FALSE)</f>
        <v>48716961864.537788</v>
      </c>
      <c r="AF20">
        <f t="shared" si="0"/>
        <v>816301413.00219524</v>
      </c>
      <c r="AG20" s="4">
        <f t="shared" si="1"/>
        <v>1.6562831028696725</v>
      </c>
      <c r="AH20">
        <f t="shared" si="2"/>
        <v>0</v>
      </c>
    </row>
    <row r="21" spans="1:34" x14ac:dyDescent="0.2">
      <c r="A21" t="s">
        <v>109</v>
      </c>
      <c r="B21" t="s">
        <v>110</v>
      </c>
      <c r="C21" t="s">
        <v>18</v>
      </c>
      <c r="D21" t="s">
        <v>20</v>
      </c>
      <c r="E21" s="3">
        <v>20383</v>
      </c>
      <c r="F21" s="3">
        <v>9174</v>
      </c>
      <c r="G21" s="3">
        <v>0</v>
      </c>
      <c r="H21" s="3">
        <v>29557</v>
      </c>
      <c r="I21">
        <v>1</v>
      </c>
      <c r="J21" s="6">
        <v>0.18432027000000001</v>
      </c>
      <c r="K21" s="6">
        <v>0.14929107999999999</v>
      </c>
      <c r="L21" t="s">
        <v>32</v>
      </c>
      <c r="M21">
        <v>0</v>
      </c>
      <c r="N21" s="3">
        <v>5447.9540999999999</v>
      </c>
      <c r="O21" s="3">
        <v>4412.5963000000002</v>
      </c>
      <c r="P21" s="3">
        <v>9860.5504999999994</v>
      </c>
      <c r="Q21" s="3">
        <v>778.27916000000005</v>
      </c>
      <c r="R21" s="3">
        <v>4669.6750000000002</v>
      </c>
      <c r="S21" s="3">
        <v>4412.5963000000002</v>
      </c>
      <c r="T21" s="3">
        <f t="shared" si="3"/>
        <v>1277.5738080911797</v>
      </c>
      <c r="U21" s="3">
        <v>982.74908314706124</v>
      </c>
      <c r="V21" s="3">
        <v>19.108366988084821</v>
      </c>
      <c r="W21" s="3">
        <f t="shared" si="4"/>
        <v>1533.0885697094157</v>
      </c>
      <c r="X21" s="3">
        <v>1179.2988997764735</v>
      </c>
      <c r="Y21" s="3">
        <v>25.796295433914512</v>
      </c>
      <c r="Z21" s="3">
        <f t="shared" si="5"/>
        <v>1193170.8842390454</v>
      </c>
      <c r="AA21" s="3">
        <f t="shared" si="6"/>
        <v>5506942.5898137037</v>
      </c>
      <c r="AB21" s="3">
        <f t="shared" si="7"/>
        <v>113828.63778539808</v>
      </c>
      <c r="AC21" s="1">
        <f t="shared" si="8"/>
        <v>6813942.111838148</v>
      </c>
      <c r="AD21">
        <f>VLOOKUP(A21,[1]Ark1!$A$3:$B$220, 2, FALSE)</f>
        <v>3.6509999999999998</v>
      </c>
      <c r="AE21">
        <f>VLOOKUP(B21,[2]Data!$B$5:$BM$270, 64, FALSE)</f>
        <v>3181071153.6622009</v>
      </c>
      <c r="AF21">
        <f t="shared" si="0"/>
        <v>116140907.82020696</v>
      </c>
      <c r="AG21" s="4">
        <f t="shared" si="1"/>
        <v>5.8669612970363003</v>
      </c>
      <c r="AH21">
        <f t="shared" si="2"/>
        <v>0</v>
      </c>
    </row>
    <row r="22" spans="1:34" x14ac:dyDescent="0.2">
      <c r="A22" t="s">
        <v>149</v>
      </c>
      <c r="B22" t="s">
        <v>150</v>
      </c>
      <c r="C22" t="s">
        <v>11</v>
      </c>
      <c r="D22" t="s">
        <v>7</v>
      </c>
      <c r="E22" s="3">
        <v>546</v>
      </c>
      <c r="F22" s="3">
        <v>2175</v>
      </c>
      <c r="G22" s="3">
        <v>113722</v>
      </c>
      <c r="H22" s="3">
        <v>116443</v>
      </c>
      <c r="J22" s="6">
        <v>0.18</v>
      </c>
      <c r="K22" s="6">
        <v>0.13</v>
      </c>
      <c r="L22" t="s">
        <v>8</v>
      </c>
      <c r="M22">
        <v>1</v>
      </c>
      <c r="N22" s="3">
        <v>20959.740000000002</v>
      </c>
      <c r="O22" s="3">
        <v>15137.59</v>
      </c>
      <c r="P22" s="3">
        <v>36097.33</v>
      </c>
      <c r="Q22" s="3">
        <v>2994.2485999999999</v>
      </c>
      <c r="R22" s="3">
        <v>17965.491000000002</v>
      </c>
      <c r="S22" s="3">
        <v>15137.59</v>
      </c>
      <c r="T22" s="3">
        <f t="shared" si="3"/>
        <v>2474.6415417601306</v>
      </c>
      <c r="U22" s="3">
        <v>1903.570416738562</v>
      </c>
      <c r="V22" s="3">
        <v>1327.6135530629604</v>
      </c>
      <c r="W22" s="3">
        <f t="shared" si="4"/>
        <v>2969.5698501121565</v>
      </c>
      <c r="X22" s="3">
        <v>2284.2845000862744</v>
      </c>
      <c r="Y22" s="3">
        <v>1792.2782966349967</v>
      </c>
      <c r="Z22" s="3">
        <f>W22*Q22</f>
        <v>8891630.3663005345</v>
      </c>
      <c r="AA22" s="3">
        <f t="shared" si="6"/>
        <v>41038292.627739467</v>
      </c>
      <c r="AB22" s="3">
        <f t="shared" si="7"/>
        <v>27130774.020358957</v>
      </c>
      <c r="AC22" s="1">
        <f t="shared" si="8"/>
        <v>77060697.014398962</v>
      </c>
      <c r="AD22">
        <f>VLOOKUP(A22,[1]Ark1!$A$3:$B$220, 2, FALSE)</f>
        <v>4.6186999999999996</v>
      </c>
      <c r="AE22">
        <f>VLOOKUP(B22,[2]Data!$B$5:$BM$270, 64, FALSE)</f>
        <v>78844655833.21936</v>
      </c>
      <c r="AF22">
        <f t="shared" si="0"/>
        <v>3641598118.9689026</v>
      </c>
      <c r="AG22" s="4">
        <f t="shared" si="1"/>
        <v>2.1161230453463178</v>
      </c>
      <c r="AH22">
        <f t="shared" si="2"/>
        <v>0</v>
      </c>
    </row>
    <row r="23" spans="1:34" x14ac:dyDescent="0.2">
      <c r="A23" t="s">
        <v>159</v>
      </c>
      <c r="B23" t="s">
        <v>160</v>
      </c>
      <c r="C23" t="s">
        <v>11</v>
      </c>
      <c r="D23" t="s">
        <v>7</v>
      </c>
      <c r="E23" s="3">
        <v>60125</v>
      </c>
      <c r="F23" s="3">
        <v>9754</v>
      </c>
      <c r="G23" s="3">
        <v>495304</v>
      </c>
      <c r="H23" s="3">
        <v>565183</v>
      </c>
      <c r="I23">
        <v>1</v>
      </c>
      <c r="J23" s="6">
        <v>3.085239E-2</v>
      </c>
      <c r="K23" s="6">
        <v>7.258212E-2</v>
      </c>
      <c r="L23" t="s">
        <v>8</v>
      </c>
      <c r="M23">
        <v>0</v>
      </c>
      <c r="N23" s="3">
        <v>17437.246999999999</v>
      </c>
      <c r="O23" s="3">
        <v>41022.180999999997</v>
      </c>
      <c r="P23" s="3">
        <v>58459.427000000003</v>
      </c>
      <c r="Q23" s="3">
        <v>2491.0353</v>
      </c>
      <c r="R23" s="3">
        <v>14946.212</v>
      </c>
      <c r="S23" s="3">
        <v>41022.180999999997</v>
      </c>
      <c r="T23" s="3">
        <f t="shared" si="3"/>
        <v>1021.9217997558957</v>
      </c>
      <c r="U23" s="3">
        <v>786.09369211991975</v>
      </c>
      <c r="V23" s="3">
        <v>468.64596054384043</v>
      </c>
      <c r="W23" s="3">
        <f t="shared" si="4"/>
        <v>1226.3061597070748</v>
      </c>
      <c r="X23" s="3">
        <v>943.3124305439037</v>
      </c>
      <c r="Y23" s="3">
        <v>632.67204673418462</v>
      </c>
      <c r="Z23" s="3">
        <f t="shared" si="5"/>
        <v>3054771.9324377612</v>
      </c>
      <c r="AA23" s="3">
        <f t="shared" si="6"/>
        <v>14098947.569144459</v>
      </c>
      <c r="AB23" s="3">
        <f t="shared" si="7"/>
        <v>25953587.214770179</v>
      </c>
      <c r="AC23" s="1">
        <f t="shared" si="8"/>
        <v>43107306.716352403</v>
      </c>
      <c r="AD23">
        <f>VLOOKUP(A23,[1]Ark1!$A$3:$B$220, 2, FALSE)</f>
        <v>4.1341000000000001</v>
      </c>
      <c r="AE23">
        <f>VLOOKUP(B23,[2]Data!$B$5:$BM$270, 64, FALSE)</f>
        <v>99291124000</v>
      </c>
      <c r="AF23">
        <f t="shared" si="0"/>
        <v>4104794357.2840004</v>
      </c>
      <c r="AG23" s="4">
        <f t="shared" si="1"/>
        <v>1.050169703138917</v>
      </c>
      <c r="AH23">
        <f t="shared" si="2"/>
        <v>0</v>
      </c>
    </row>
    <row r="24" spans="1:34" x14ac:dyDescent="0.2">
      <c r="A24" t="s">
        <v>165</v>
      </c>
      <c r="B24" t="s">
        <v>166</v>
      </c>
      <c r="C24" t="s">
        <v>18</v>
      </c>
      <c r="D24" t="s">
        <v>20</v>
      </c>
      <c r="E24" s="3">
        <v>294632</v>
      </c>
      <c r="F24" s="3">
        <v>63881</v>
      </c>
      <c r="G24" s="3">
        <v>0</v>
      </c>
      <c r="H24" s="3">
        <v>358513</v>
      </c>
      <c r="I24">
        <v>0.76</v>
      </c>
      <c r="J24" s="6">
        <v>0.12158897</v>
      </c>
      <c r="K24" s="6">
        <v>0.10286391</v>
      </c>
      <c r="L24" t="s">
        <v>8</v>
      </c>
      <c r="M24">
        <v>0</v>
      </c>
      <c r="N24" s="3">
        <v>43591.224999999999</v>
      </c>
      <c r="O24" s="3">
        <v>36878.050000000003</v>
      </c>
      <c r="P24" s="3">
        <v>80469.274000000005</v>
      </c>
      <c r="Q24" s="3">
        <v>6227.3177999999998</v>
      </c>
      <c r="R24" s="3">
        <v>37363.906999999999</v>
      </c>
      <c r="S24" s="3">
        <v>36878.050000000003</v>
      </c>
      <c r="T24" s="3">
        <f t="shared" si="3"/>
        <v>301.07172057579453</v>
      </c>
      <c r="U24" s="3">
        <v>231.59363121214963</v>
      </c>
      <c r="V24" s="3">
        <v>413.47688083529528</v>
      </c>
      <c r="W24" s="3">
        <f t="shared" si="4"/>
        <v>361.28606469095342</v>
      </c>
      <c r="X24" s="3">
        <v>277.91235745457953</v>
      </c>
      <c r="Y24" s="3">
        <v>558.19378912764864</v>
      </c>
      <c r="Z24" s="3">
        <f t="shared" si="5"/>
        <v>2249843.1415419257</v>
      </c>
      <c r="AA24" s="3">
        <f t="shared" si="6"/>
        <v>10383891.478083666</v>
      </c>
      <c r="AB24" s="3">
        <f t="shared" si="7"/>
        <v>20585098.465138886</v>
      </c>
      <c r="AC24" s="1">
        <f t="shared" si="8"/>
        <v>33218833.084764481</v>
      </c>
      <c r="AD24" s="19">
        <v>3.9676</v>
      </c>
      <c r="AE24">
        <f>VLOOKUP(B24,[2]Data!$B$5:$BM$270, 64, FALSE)</f>
        <v>383817841547.09918</v>
      </c>
      <c r="AF24">
        <f t="shared" si="0"/>
        <v>15228356681.222708</v>
      </c>
      <c r="AG24" s="4">
        <f t="shared" si="1"/>
        <v>0.21813800254445637</v>
      </c>
      <c r="AH24">
        <f t="shared" si="2"/>
        <v>1</v>
      </c>
    </row>
    <row r="25" spans="1:34" x14ac:dyDescent="0.2">
      <c r="A25" t="s">
        <v>39</v>
      </c>
      <c r="B25" t="s">
        <v>40</v>
      </c>
      <c r="C25" t="s">
        <v>33</v>
      </c>
      <c r="D25" t="s">
        <v>36</v>
      </c>
      <c r="E25" s="3">
        <v>879598</v>
      </c>
      <c r="F25" s="3">
        <v>2214</v>
      </c>
      <c r="G25" s="3">
        <v>0</v>
      </c>
      <c r="H25" s="3">
        <v>881812</v>
      </c>
      <c r="I25">
        <v>1</v>
      </c>
      <c r="J25" s="6">
        <v>0.25243805000000002</v>
      </c>
      <c r="K25" s="6">
        <v>0.18253792999999999</v>
      </c>
      <c r="L25" t="s">
        <v>32</v>
      </c>
      <c r="M25">
        <v>0</v>
      </c>
      <c r="N25" s="3">
        <v>222602.9</v>
      </c>
      <c r="O25" s="3">
        <v>160964.14000000001</v>
      </c>
      <c r="P25" s="3">
        <v>383567.04</v>
      </c>
      <c r="Q25" s="3">
        <v>31800.414000000001</v>
      </c>
      <c r="R25" s="3">
        <v>190802.48</v>
      </c>
      <c r="S25" s="3">
        <v>160964.14000000001</v>
      </c>
      <c r="T25" s="3">
        <f t="shared" si="3"/>
        <v>85.714617574587962</v>
      </c>
      <c r="U25" s="3">
        <v>65.934321211221501</v>
      </c>
      <c r="V25" s="3">
        <v>142.83693811147813</v>
      </c>
      <c r="W25" s="3">
        <f t="shared" si="4"/>
        <v>102.85754108950555</v>
      </c>
      <c r="X25" s="3">
        <v>79.121185453465799</v>
      </c>
      <c r="Y25" s="3">
        <v>192.8298664504955</v>
      </c>
      <c r="Z25" s="3">
        <f t="shared" si="5"/>
        <v>3270912.3896682872</v>
      </c>
      <c r="AA25" s="3">
        <f t="shared" si="6"/>
        <v>15096518.4050612</v>
      </c>
      <c r="AB25" s="3">
        <f t="shared" si="7"/>
        <v>31038693.619518865</v>
      </c>
      <c r="AC25" s="1">
        <f t="shared" si="8"/>
        <v>49406124.414248347</v>
      </c>
      <c r="AD25">
        <f>VLOOKUP(A25,[1]Ark1!$A$3:$B$220, 2, FALSE)</f>
        <v>5.5762999999999998</v>
      </c>
      <c r="AE25">
        <f>VLOOKUP(B25,[2]Data!$B$5:$BM$270, 64, FALSE)</f>
        <v>107657734392.44585</v>
      </c>
      <c r="AF25">
        <f t="shared" si="0"/>
        <v>6003318242.9259577</v>
      </c>
      <c r="AG25" s="4">
        <f t="shared" si="1"/>
        <v>0.82298026549677461</v>
      </c>
      <c r="AH25">
        <f t="shared" si="2"/>
        <v>1</v>
      </c>
    </row>
    <row r="26" spans="1:34" x14ac:dyDescent="0.2">
      <c r="A26" t="s">
        <v>95</v>
      </c>
      <c r="B26" t="s">
        <v>96</v>
      </c>
      <c r="C26" t="s">
        <v>4</v>
      </c>
      <c r="D26" t="s">
        <v>7</v>
      </c>
      <c r="E26" s="3">
        <v>27839</v>
      </c>
      <c r="F26" s="3">
        <v>1030</v>
      </c>
      <c r="G26" s="3">
        <v>0</v>
      </c>
      <c r="H26" s="3">
        <v>28869</v>
      </c>
      <c r="I26">
        <v>1</v>
      </c>
      <c r="J26" s="6">
        <v>0.11006141999999999</v>
      </c>
      <c r="K26" s="6">
        <v>7.1195090000000003E-2</v>
      </c>
      <c r="L26" t="s">
        <v>8</v>
      </c>
      <c r="M26">
        <v>0</v>
      </c>
      <c r="N26" s="3">
        <v>3177.3633</v>
      </c>
      <c r="O26" s="3">
        <v>2055.3308999999999</v>
      </c>
      <c r="P26" s="3">
        <v>5232.6941999999999</v>
      </c>
      <c r="Q26" s="3">
        <v>453.90904</v>
      </c>
      <c r="R26" s="3">
        <v>2723.4542000000001</v>
      </c>
      <c r="S26" s="3">
        <v>2055.3308999999999</v>
      </c>
      <c r="T26" s="3">
        <f t="shared" si="3"/>
        <v>758.21199999999999</v>
      </c>
      <c r="U26" s="3">
        <v>583.24</v>
      </c>
      <c r="V26" s="3">
        <v>901.37</v>
      </c>
      <c r="W26" s="3">
        <f t="shared" si="4"/>
        <v>909.85439999999994</v>
      </c>
      <c r="X26" s="3">
        <v>699.88800000000003</v>
      </c>
      <c r="Y26" s="3">
        <v>1216.8495</v>
      </c>
      <c r="Z26" s="3">
        <f t="shared" si="5"/>
        <v>412991.137243776</v>
      </c>
      <c r="AA26" s="3">
        <f t="shared" si="6"/>
        <v>1906112.9131296002</v>
      </c>
      <c r="AB26" s="3">
        <f t="shared" si="7"/>
        <v>2501028.3779995502</v>
      </c>
      <c r="AC26" s="1">
        <f t="shared" si="8"/>
        <v>4820132.428372927</v>
      </c>
      <c r="AD26">
        <f>VLOOKUP(A26,[1]Ark1!$A$3:$B$220, 2, FALSE)</f>
        <v>3.8500999999999999</v>
      </c>
      <c r="AE26">
        <f>VLOOKUP(B26,[2]Data!$B$5:$BM$270, 64, FALSE)</f>
        <v>15842922532.720198</v>
      </c>
      <c r="AF26">
        <f t="shared" si="0"/>
        <v>609968360.43226039</v>
      </c>
      <c r="AG26" s="4">
        <f t="shared" si="1"/>
        <v>0.79022663158415141</v>
      </c>
      <c r="AH26">
        <f t="shared" si="2"/>
        <v>1</v>
      </c>
    </row>
    <row r="27" spans="1:34" x14ac:dyDescent="0.2">
      <c r="A27" t="s">
        <v>75</v>
      </c>
      <c r="B27" t="s">
        <v>76</v>
      </c>
      <c r="C27" t="s">
        <v>33</v>
      </c>
      <c r="D27" t="s">
        <v>20</v>
      </c>
      <c r="E27" s="3">
        <v>8531</v>
      </c>
      <c r="F27" s="3">
        <v>2517</v>
      </c>
      <c r="G27" s="3">
        <v>0</v>
      </c>
      <c r="H27" s="3">
        <v>11048</v>
      </c>
      <c r="I27">
        <v>1</v>
      </c>
      <c r="J27" s="6">
        <v>0.1145235</v>
      </c>
      <c r="K27" s="6">
        <v>0.12237721</v>
      </c>
      <c r="L27" t="s">
        <v>32</v>
      </c>
      <c r="M27">
        <v>0</v>
      </c>
      <c r="N27" s="3">
        <v>1265.2556999999999</v>
      </c>
      <c r="O27" s="3">
        <v>1352.0234</v>
      </c>
      <c r="P27" s="3">
        <v>2617.2791000000002</v>
      </c>
      <c r="Q27" s="3">
        <v>180.75081</v>
      </c>
      <c r="R27" s="3">
        <v>1084.5047999999999</v>
      </c>
      <c r="S27" s="3">
        <v>1352.0234</v>
      </c>
      <c r="T27" s="3">
        <f t="shared" si="3"/>
        <v>272.64783954437735</v>
      </c>
      <c r="U27" s="3">
        <v>209.72910734182872</v>
      </c>
      <c r="V27" s="3">
        <v>595.30109192141538</v>
      </c>
      <c r="W27" s="3">
        <f t="shared" si="4"/>
        <v>327.17740745325278</v>
      </c>
      <c r="X27" s="3">
        <v>251.67492881019444</v>
      </c>
      <c r="Y27" s="3">
        <v>803.65647409391079</v>
      </c>
      <c r="Z27" s="3">
        <f t="shared" si="5"/>
        <v>59137.581410875478</v>
      </c>
      <c r="AA27" s="3">
        <f t="shared" si="6"/>
        <v>272942.66833431413</v>
      </c>
      <c r="AB27" s="3">
        <f t="shared" si="7"/>
        <v>1086562.3585364611</v>
      </c>
      <c r="AC27" s="1">
        <f t="shared" si="8"/>
        <v>1418642.6082816508</v>
      </c>
      <c r="AD27">
        <f>VLOOKUP(A27,[1]Ark1!$A$3:$B$220, 2, FALSE)</f>
        <v>3.9110999999999998</v>
      </c>
      <c r="AE27">
        <f>VLOOKUP(B27,[2]Data!$B$5:$BM$270, 64, FALSE)</f>
        <v>70043095503.250305</v>
      </c>
      <c r="AF27">
        <f t="shared" si="0"/>
        <v>2739455508.2276225</v>
      </c>
      <c r="AG27" s="4">
        <f t="shared" si="1"/>
        <v>5.1785568483259894E-2</v>
      </c>
      <c r="AH27">
        <f t="shared" si="2"/>
        <v>1</v>
      </c>
    </row>
    <row r="28" spans="1:34" x14ac:dyDescent="0.2">
      <c r="A28" t="s">
        <v>163</v>
      </c>
      <c r="B28" t="s">
        <v>164</v>
      </c>
      <c r="C28" t="s">
        <v>27</v>
      </c>
      <c r="D28" t="s">
        <v>20</v>
      </c>
      <c r="E28" s="3">
        <v>242835</v>
      </c>
      <c r="F28" s="3">
        <v>15794</v>
      </c>
      <c r="G28" s="3">
        <v>0</v>
      </c>
      <c r="H28" s="3">
        <v>258629</v>
      </c>
      <c r="I28">
        <v>0.14000000000000001</v>
      </c>
      <c r="J28" s="6">
        <v>0.18</v>
      </c>
      <c r="K28" s="6">
        <v>0.13</v>
      </c>
      <c r="L28" t="s">
        <v>8</v>
      </c>
      <c r="M28">
        <v>1</v>
      </c>
      <c r="N28" s="3">
        <v>46553.22</v>
      </c>
      <c r="O28" s="3">
        <v>33621.769999999997</v>
      </c>
      <c r="P28" s="3">
        <v>80174.990000000005</v>
      </c>
      <c r="Q28" s="3">
        <v>6650.46</v>
      </c>
      <c r="R28" s="3">
        <v>39902.76</v>
      </c>
      <c r="S28" s="3">
        <v>33621.769999999997</v>
      </c>
      <c r="T28" s="3">
        <f t="shared" si="3"/>
        <v>369.87273289991231</v>
      </c>
      <c r="U28" s="3">
        <v>284.5174868460864</v>
      </c>
      <c r="V28" s="3">
        <v>351.72918387522378</v>
      </c>
      <c r="W28" s="3">
        <f t="shared" si="4"/>
        <v>443.84727947989478</v>
      </c>
      <c r="X28" s="3">
        <v>341.42098421530369</v>
      </c>
      <c r="Y28" s="3">
        <v>474.83439823155214</v>
      </c>
      <c r="Z28" s="3">
        <f t="shared" si="5"/>
        <v>2951788.5782898609</v>
      </c>
      <c r="AA28" s="3">
        <f t="shared" si="6"/>
        <v>13623639.592107052</v>
      </c>
      <c r="AB28" s="3">
        <f t="shared" si="7"/>
        <v>15964772.925429652</v>
      </c>
      <c r="AC28" s="1">
        <f t="shared" si="8"/>
        <v>32540201.095826566</v>
      </c>
      <c r="AD28">
        <f>VLOOKUP(A28,[1]Ark1!$A$3:$B$220, 2, FALSE)</f>
        <v>4.4741999999999997</v>
      </c>
      <c r="AE28">
        <f>VLOOKUP(B28,[2]Data!$B$5:$BM$270, 64, FALSE)</f>
        <v>2671595389575.7017</v>
      </c>
      <c r="AF28">
        <f t="shared" si="0"/>
        <v>119532520920.39604</v>
      </c>
      <c r="AG28" s="4">
        <f t="shared" si="1"/>
        <v>2.7222885324653247E-2</v>
      </c>
      <c r="AH28">
        <f t="shared" si="2"/>
        <v>1</v>
      </c>
    </row>
    <row r="29" spans="1:34" x14ac:dyDescent="0.2">
      <c r="A29" t="s">
        <v>69</v>
      </c>
      <c r="B29" t="s">
        <v>70</v>
      </c>
      <c r="C29" t="s">
        <v>191</v>
      </c>
      <c r="D29" t="s">
        <v>7</v>
      </c>
      <c r="E29" s="3">
        <v>9785</v>
      </c>
      <c r="F29" s="3">
        <v>2889</v>
      </c>
      <c r="G29" s="3">
        <v>0</v>
      </c>
      <c r="H29" s="3">
        <v>12674</v>
      </c>
      <c r="I29">
        <v>1</v>
      </c>
      <c r="J29" s="6">
        <v>0.10413899</v>
      </c>
      <c r="K29" s="6">
        <v>7.920286E-2</v>
      </c>
      <c r="L29" t="s">
        <v>8</v>
      </c>
      <c r="M29">
        <v>0</v>
      </c>
      <c r="N29" s="3">
        <v>1319.8575000000001</v>
      </c>
      <c r="O29" s="3">
        <v>1003.8171</v>
      </c>
      <c r="P29" s="3">
        <v>2323.6745999999998</v>
      </c>
      <c r="Q29" s="3">
        <v>188.55108000000001</v>
      </c>
      <c r="R29" s="3">
        <v>1131.3064999999999</v>
      </c>
      <c r="S29" s="3">
        <v>1003.8171</v>
      </c>
      <c r="T29" s="3">
        <f t="shared" si="3"/>
        <v>925.92538532975243</v>
      </c>
      <c r="U29" s="3">
        <v>712.25029640750188</v>
      </c>
      <c r="V29" s="3">
        <v>765.58806571252728</v>
      </c>
      <c r="W29" s="3">
        <f t="shared" si="4"/>
        <v>1111.1104623957028</v>
      </c>
      <c r="X29" s="3">
        <v>854.70035568900221</v>
      </c>
      <c r="Y29" s="3">
        <v>1033.5438887119119</v>
      </c>
      <c r="Z29" s="3">
        <f t="shared" si="5"/>
        <v>209501.07768400916</v>
      </c>
      <c r="AA29" s="3">
        <f t="shared" si="6"/>
        <v>966928.0679432801</v>
      </c>
      <c r="AB29" s="3">
        <f t="shared" si="7"/>
        <v>1037489.0290895142</v>
      </c>
      <c r="AC29" s="1">
        <f t="shared" si="8"/>
        <v>2213918.1747168032</v>
      </c>
      <c r="AD29">
        <f>VLOOKUP(A29,[1]Ark1!$A$3:$B$220, 2, FALSE)</f>
        <v>2.8149999999999999</v>
      </c>
      <c r="AE29">
        <f>VLOOKUP(B29,[2]Data!$B$5:$BM$270, 64, FALSE)</f>
        <v>1059054842711.7219</v>
      </c>
      <c r="AF29">
        <f t="shared" si="0"/>
        <v>29812393822.334969</v>
      </c>
      <c r="AG29" s="4">
        <f t="shared" si="1"/>
        <v>7.4261670763861014E-3</v>
      </c>
      <c r="AH29">
        <f t="shared" si="2"/>
        <v>1</v>
      </c>
    </row>
    <row r="30" spans="1:34" x14ac:dyDescent="0.2">
      <c r="A30" t="s">
        <v>169</v>
      </c>
      <c r="B30" t="s">
        <v>19</v>
      </c>
      <c r="C30" t="s">
        <v>18</v>
      </c>
      <c r="D30" t="s">
        <v>20</v>
      </c>
      <c r="E30" s="3">
        <v>3400000</v>
      </c>
      <c r="F30" s="3">
        <v>34</v>
      </c>
      <c r="G30" s="3">
        <v>0</v>
      </c>
      <c r="H30" s="3">
        <v>3400000</v>
      </c>
      <c r="I30">
        <v>1</v>
      </c>
      <c r="J30" s="6">
        <v>0.18892316000000001</v>
      </c>
      <c r="K30" s="6">
        <v>0.13239648000000001</v>
      </c>
      <c r="L30" t="s">
        <v>8</v>
      </c>
      <c r="M30">
        <v>0</v>
      </c>
      <c r="N30" s="3">
        <v>647085.42000000004</v>
      </c>
      <c r="O30" s="3">
        <v>453474.5</v>
      </c>
      <c r="P30" s="3">
        <v>1100559.8999999999</v>
      </c>
      <c r="Q30" s="3">
        <v>92440.774999999994</v>
      </c>
      <c r="R30" s="3">
        <v>554644.65</v>
      </c>
      <c r="S30" s="3">
        <v>453474.5</v>
      </c>
      <c r="T30" s="3">
        <f t="shared" si="3"/>
        <v>587.38145608271714</v>
      </c>
      <c r="U30" s="3">
        <v>451.83188929439774</v>
      </c>
      <c r="V30" s="3">
        <v>629.40596990773406</v>
      </c>
      <c r="W30" s="3">
        <f t="shared" si="4"/>
        <v>704.8577472992605</v>
      </c>
      <c r="X30" s="3">
        <v>542.19826715327724</v>
      </c>
      <c r="Y30" s="3">
        <v>849.69805937544106</v>
      </c>
      <c r="Z30" s="3">
        <f t="shared" si="5"/>
        <v>65157596.425097793</v>
      </c>
      <c r="AA30" s="3">
        <f t="shared" si="6"/>
        <v>300727368.11583596</v>
      </c>
      <c r="AB30" s="3">
        <f t="shared" si="7"/>
        <v>385316402.62624842</v>
      </c>
      <c r="AC30" s="1">
        <f t="shared" si="8"/>
        <v>751201367.16718221</v>
      </c>
      <c r="AD30" s="19">
        <v>3.5924</v>
      </c>
      <c r="AE30">
        <f>VLOOKUP(B30,[2]Data!$B$5:$BM$270, 64, FALSE)</f>
        <v>239735486745.7037</v>
      </c>
      <c r="AF30">
        <f t="shared" si="0"/>
        <v>8612257625.8526592</v>
      </c>
      <c r="AG30" s="4">
        <f t="shared" si="1"/>
        <v>8.722467438876798</v>
      </c>
      <c r="AH30">
        <f t="shared" si="2"/>
        <v>0</v>
      </c>
    </row>
    <row r="31" spans="1:34" x14ac:dyDescent="0.2">
      <c r="A31" t="s">
        <v>25</v>
      </c>
      <c r="B31" t="s">
        <v>26</v>
      </c>
      <c r="C31" t="s">
        <v>18</v>
      </c>
      <c r="D31" t="s">
        <v>7</v>
      </c>
      <c r="E31" s="3">
        <v>273716</v>
      </c>
      <c r="F31" s="3">
        <v>10621</v>
      </c>
      <c r="G31" s="3">
        <v>0</v>
      </c>
      <c r="H31" s="3">
        <v>284337</v>
      </c>
      <c r="I31">
        <v>1</v>
      </c>
      <c r="J31" s="6">
        <v>0.19269243</v>
      </c>
      <c r="K31" s="6">
        <v>0.10273056999999999</v>
      </c>
      <c r="L31" t="s">
        <v>8</v>
      </c>
      <c r="M31">
        <v>0</v>
      </c>
      <c r="N31" s="3">
        <v>54789.586000000003</v>
      </c>
      <c r="O31" s="3">
        <v>29210.100999999999</v>
      </c>
      <c r="P31" s="3">
        <v>83999.687999999995</v>
      </c>
      <c r="Q31" s="3">
        <v>7827.0838000000003</v>
      </c>
      <c r="R31" s="3">
        <v>46962.502999999997</v>
      </c>
      <c r="S31" s="3">
        <v>29210.100999999999</v>
      </c>
      <c r="T31" s="3">
        <f t="shared" si="3"/>
        <v>417.3711256379168</v>
      </c>
      <c r="U31" s="3">
        <v>321.05471202916675</v>
      </c>
      <c r="V31" s="3">
        <v>1023.7961683250248</v>
      </c>
      <c r="W31" s="3">
        <f t="shared" si="4"/>
        <v>500.84535076550014</v>
      </c>
      <c r="X31" s="3">
        <v>385.2656544350001</v>
      </c>
      <c r="Y31" s="3">
        <v>1382.1248272387836</v>
      </c>
      <c r="Z31" s="3">
        <f t="shared" si="5"/>
        <v>3920158.5312819639</v>
      </c>
      <c r="AA31" s="3">
        <f t="shared" si="6"/>
        <v>18093039.452200655</v>
      </c>
      <c r="AB31" s="3">
        <f t="shared" si="7"/>
        <v>40372005.798252419</v>
      </c>
      <c r="AC31" s="1">
        <f t="shared" si="8"/>
        <v>62385203.781735033</v>
      </c>
      <c r="AE31">
        <f>VLOOKUP(B31,[2]Data!$B$5:$BM$270, 64, FALSE)</f>
        <v>180924091442.95303</v>
      </c>
      <c r="AG31" s="4"/>
    </row>
    <row r="32" spans="1:34" x14ac:dyDescent="0.2">
      <c r="A32" t="s">
        <v>23</v>
      </c>
      <c r="B32" t="s">
        <v>24</v>
      </c>
      <c r="C32" t="s">
        <v>18</v>
      </c>
      <c r="D32" t="s">
        <v>20</v>
      </c>
      <c r="E32" s="3">
        <v>697761</v>
      </c>
      <c r="F32" s="3">
        <v>45177</v>
      </c>
      <c r="G32" s="3">
        <v>0</v>
      </c>
      <c r="H32" s="3">
        <v>742938</v>
      </c>
      <c r="I32">
        <v>1</v>
      </c>
      <c r="J32" s="6">
        <v>0.20370584999999999</v>
      </c>
      <c r="K32" s="6">
        <v>0.15155333000000001</v>
      </c>
      <c r="L32" t="s">
        <v>8</v>
      </c>
      <c r="M32">
        <v>0</v>
      </c>
      <c r="N32" s="3">
        <v>151340.82</v>
      </c>
      <c r="O32" s="3">
        <v>112594.72</v>
      </c>
      <c r="P32" s="3">
        <v>263935.53999999998</v>
      </c>
      <c r="Q32" s="3">
        <v>21620.116999999998</v>
      </c>
      <c r="R32" s="3">
        <v>129720.7</v>
      </c>
      <c r="S32" s="3">
        <v>112594.72</v>
      </c>
      <c r="T32" s="3">
        <f t="shared" si="3"/>
        <v>1151.3090234742174</v>
      </c>
      <c r="U32" s="3">
        <v>885.62232574939787</v>
      </c>
      <c r="V32" s="3">
        <v>877.65693583204074</v>
      </c>
      <c r="W32" s="3">
        <f t="shared" si="4"/>
        <v>1381.5708281690609</v>
      </c>
      <c r="X32" s="3">
        <v>1062.7467908992774</v>
      </c>
      <c r="Y32" s="3">
        <v>1184.836863373255</v>
      </c>
      <c r="Z32" s="3">
        <f t="shared" si="5"/>
        <v>29869722.948801991</v>
      </c>
      <c r="AA32" s="3">
        <f t="shared" si="6"/>
        <v>137860257.63820788</v>
      </c>
      <c r="AB32" s="3">
        <f t="shared" si="7"/>
        <v>133406374.8771899</v>
      </c>
      <c r="AC32" s="1">
        <f t="shared" si="8"/>
        <v>301136355.46419978</v>
      </c>
      <c r="AD32">
        <f>VLOOKUP(A32,[1]Ark1!$A$3:$B$220, 2, FALSE)</f>
        <v>2.9379</v>
      </c>
      <c r="AE32">
        <f>VLOOKUP(B32,[2]Data!$B$5:$BM$270, 64, FALSE)</f>
        <v>43579916197.183098</v>
      </c>
      <c r="AF32">
        <f>AD32/100*AE32</f>
        <v>1280334357.9570422</v>
      </c>
      <c r="AG32" s="4">
        <f>AC32/AF32*100</f>
        <v>23.520133908200837</v>
      </c>
      <c r="AH32">
        <f>IF(AG32&lt;1, 1, 0)</f>
        <v>0</v>
      </c>
    </row>
    <row r="33" spans="1:34" x14ac:dyDescent="0.2">
      <c r="A33" t="s">
        <v>43</v>
      </c>
      <c r="B33" t="s">
        <v>44</v>
      </c>
      <c r="C33" t="s">
        <v>33</v>
      </c>
      <c r="D33" t="s">
        <v>20</v>
      </c>
      <c r="E33" s="3">
        <v>504473</v>
      </c>
      <c r="F33" s="3">
        <v>69011</v>
      </c>
      <c r="G33" s="3">
        <v>0</v>
      </c>
      <c r="H33" s="3">
        <v>573484</v>
      </c>
      <c r="I33">
        <v>1</v>
      </c>
      <c r="J33" s="6">
        <v>0.22335784</v>
      </c>
      <c r="K33" s="6">
        <v>0.18356977999999999</v>
      </c>
      <c r="L33" t="s">
        <v>64</v>
      </c>
      <c r="M33">
        <v>0</v>
      </c>
      <c r="N33" s="3">
        <v>128092.15</v>
      </c>
      <c r="O33" s="3">
        <v>105274.33</v>
      </c>
      <c r="P33" s="3">
        <v>233366.48</v>
      </c>
      <c r="Q33" s="3">
        <v>18298.878000000001</v>
      </c>
      <c r="R33" s="3">
        <v>109793.27</v>
      </c>
      <c r="S33" s="3">
        <v>105274.33</v>
      </c>
      <c r="T33" s="3">
        <f t="shared" si="3"/>
        <v>272.14706746762687</v>
      </c>
      <c r="U33" s="3">
        <v>209.34389805202065</v>
      </c>
      <c r="V33" s="3">
        <v>455.55</v>
      </c>
      <c r="W33" s="3">
        <f t="shared" si="4"/>
        <v>326.57648096115224</v>
      </c>
      <c r="X33" s="3">
        <v>251.21267766242477</v>
      </c>
      <c r="Y33" s="3">
        <v>614.99250000000006</v>
      </c>
      <c r="Z33" s="3">
        <f t="shared" si="5"/>
        <v>5975983.1827774476</v>
      </c>
      <c r="AA33" s="3">
        <f t="shared" si="6"/>
        <v>27581461.346013572</v>
      </c>
      <c r="AB33" s="3">
        <f t="shared" si="7"/>
        <v>64742923.39252501</v>
      </c>
      <c r="AC33" s="1">
        <f t="shared" si="8"/>
        <v>98300367.921316028</v>
      </c>
      <c r="AD33">
        <f>VLOOKUP(A33,[1]Ark1!$A$3:$B$220, 2, FALSE)</f>
        <v>5.08</v>
      </c>
      <c r="AE33">
        <f>VLOOKUP(B33,[2]Data!$B$5:$BM$270, 64, FALSE)</f>
        <v>100657505600.65482</v>
      </c>
      <c r="AF33">
        <f>AD33/100*AE33</f>
        <v>5113401284.5132647</v>
      </c>
      <c r="AG33" s="4">
        <f>AC33/AF33*100</f>
        <v>1.922406681029202</v>
      </c>
      <c r="AH33">
        <f>IF(AG33&lt;1, 1, 0)</f>
        <v>0</v>
      </c>
    </row>
    <row r="34" spans="1:34" x14ac:dyDescent="0.2">
      <c r="A34" t="s">
        <v>21</v>
      </c>
      <c r="B34" t="s">
        <v>22</v>
      </c>
      <c r="C34" t="s">
        <v>18</v>
      </c>
      <c r="D34" t="s">
        <v>20</v>
      </c>
      <c r="E34" s="3">
        <v>818861</v>
      </c>
      <c r="F34" s="3">
        <v>7995</v>
      </c>
      <c r="G34" s="3">
        <v>0</v>
      </c>
      <c r="H34" s="3">
        <v>826856</v>
      </c>
      <c r="I34">
        <v>1</v>
      </c>
      <c r="J34" s="6">
        <v>0.24069652999999999</v>
      </c>
      <c r="K34" s="6">
        <v>0.17162009</v>
      </c>
      <c r="L34" t="s">
        <v>8</v>
      </c>
      <c r="M34">
        <v>0</v>
      </c>
      <c r="N34" s="3">
        <v>199021.37</v>
      </c>
      <c r="O34" s="3">
        <v>141905.1</v>
      </c>
      <c r="P34" s="3">
        <v>340926.47</v>
      </c>
      <c r="Q34" s="3">
        <v>28431.624</v>
      </c>
      <c r="R34" s="3">
        <v>170589.74</v>
      </c>
      <c r="S34" s="3">
        <v>141905.1</v>
      </c>
      <c r="T34" s="3">
        <f t="shared" si="3"/>
        <v>1893.8364396489449</v>
      </c>
      <c r="U34" s="3">
        <v>1456.7972612684191</v>
      </c>
      <c r="V34" s="3">
        <v>1501.8226916194735</v>
      </c>
      <c r="W34" s="3">
        <f t="shared" si="4"/>
        <v>2272.6037275787339</v>
      </c>
      <c r="X34" s="3">
        <v>1748.1567135221028</v>
      </c>
      <c r="Y34" s="3">
        <v>2027.4606336862894</v>
      </c>
      <c r="Z34" s="3">
        <f t="shared" si="5"/>
        <v>64613814.683516994</v>
      </c>
      <c r="AA34" s="3">
        <f t="shared" si="6"/>
        <v>298217599.23899001</v>
      </c>
      <c r="AB34" s="3">
        <f t="shared" si="7"/>
        <v>287707003.9693163</v>
      </c>
      <c r="AC34" s="1">
        <f t="shared" si="8"/>
        <v>650538417.89182329</v>
      </c>
      <c r="AE34">
        <f>VLOOKUP(B34,[2]Data!$B$5:$BM$270, 64, FALSE)</f>
        <v>31712128253.796097</v>
      </c>
      <c r="AG34" s="4"/>
    </row>
    <row r="35" spans="1:34" x14ac:dyDescent="0.2">
      <c r="A35" t="s">
        <v>117</v>
      </c>
      <c r="B35" t="s">
        <v>118</v>
      </c>
      <c r="C35" t="s">
        <v>18</v>
      </c>
      <c r="D35" t="s">
        <v>7</v>
      </c>
      <c r="E35" s="3">
        <v>2208</v>
      </c>
      <c r="F35" s="3">
        <v>42509</v>
      </c>
      <c r="G35" s="3">
        <v>0</v>
      </c>
      <c r="H35" s="3">
        <v>44717</v>
      </c>
      <c r="I35">
        <v>1</v>
      </c>
      <c r="J35" s="6">
        <v>0.17074275</v>
      </c>
      <c r="K35" s="6">
        <v>0.12681159</v>
      </c>
      <c r="L35" t="s">
        <v>8</v>
      </c>
      <c r="M35">
        <v>0</v>
      </c>
      <c r="N35" s="3">
        <v>7635.1036999999997</v>
      </c>
      <c r="O35" s="3">
        <v>5670.6341000000002</v>
      </c>
      <c r="P35" s="3">
        <v>13305.737999999999</v>
      </c>
      <c r="Q35" s="3">
        <v>1090.7291</v>
      </c>
      <c r="R35" s="3">
        <v>6544.3746000000001</v>
      </c>
      <c r="S35" s="3">
        <v>5670.6341000000002</v>
      </c>
      <c r="T35" s="3">
        <f t="shared" si="3"/>
        <v>1879.9704336259833</v>
      </c>
      <c r="U35" s="3">
        <v>1446.1311027892179</v>
      </c>
      <c r="V35" s="3">
        <v>1196.5709117327044</v>
      </c>
      <c r="W35" s="3">
        <f t="shared" si="4"/>
        <v>2255.96452035118</v>
      </c>
      <c r="X35" s="3">
        <v>1735.3573233470615</v>
      </c>
      <c r="Y35" s="3">
        <v>1615.3707308391511</v>
      </c>
      <c r="Z35" s="3">
        <f t="shared" si="5"/>
        <v>2460646.1509145745</v>
      </c>
      <c r="AA35" s="3">
        <f t="shared" ref="AA35:AA66" si="9">X35*R35</f>
        <v>11356828.388836497</v>
      </c>
      <c r="AB35" s="3">
        <f t="shared" ref="AB35:AB66" si="10">Y35*S35</f>
        <v>9160176.3504384123</v>
      </c>
      <c r="AC35" s="1">
        <f t="shared" si="8"/>
        <v>22977650.890189484</v>
      </c>
      <c r="AE35">
        <f>VLOOKUP(B35,[2]Data!$B$5:$BM$270, 64, FALSE)</f>
        <v>46808208747.275436</v>
      </c>
      <c r="AG35" s="4"/>
    </row>
    <row r="36" spans="1:34" x14ac:dyDescent="0.2">
      <c r="A36" t="s">
        <v>129</v>
      </c>
      <c r="B36" t="s">
        <v>130</v>
      </c>
      <c r="C36" t="s">
        <v>33</v>
      </c>
      <c r="D36" t="s">
        <v>36</v>
      </c>
      <c r="E36" s="3">
        <v>35162</v>
      </c>
      <c r="F36" s="3">
        <v>21263</v>
      </c>
      <c r="G36" s="3">
        <v>0</v>
      </c>
      <c r="H36" s="3">
        <v>56425</v>
      </c>
      <c r="I36">
        <v>1</v>
      </c>
      <c r="J36" s="6">
        <v>0.2117627</v>
      </c>
      <c r="K36" s="6">
        <v>0.14817132</v>
      </c>
      <c r="L36" t="s">
        <v>32</v>
      </c>
      <c r="M36">
        <v>0</v>
      </c>
      <c r="N36" s="3">
        <v>11948.71</v>
      </c>
      <c r="O36" s="3">
        <v>8360.5668000000005</v>
      </c>
      <c r="P36" s="3">
        <v>20309.276999999998</v>
      </c>
      <c r="Q36" s="3">
        <v>1706.9585999999999</v>
      </c>
      <c r="R36" s="3">
        <v>10241.752</v>
      </c>
      <c r="S36" s="3">
        <v>8360.5668000000005</v>
      </c>
      <c r="T36" s="3">
        <f t="shared" si="3"/>
        <v>73.163262006580524</v>
      </c>
      <c r="U36" s="3">
        <v>56.279432312754253</v>
      </c>
      <c r="V36" s="3">
        <v>178.70402014616948</v>
      </c>
      <c r="W36" s="3">
        <f t="shared" si="4"/>
        <v>87.795914407896632</v>
      </c>
      <c r="X36" s="3">
        <v>67.5353187753051</v>
      </c>
      <c r="Y36" s="3">
        <v>241.25042719732883</v>
      </c>
      <c r="Z36" s="3">
        <f t="shared" si="5"/>
        <v>149863.99114342305</v>
      </c>
      <c r="AA36" s="3">
        <f t="shared" si="9"/>
        <v>691679.98613761854</v>
      </c>
      <c r="AB36" s="3">
        <f t="shared" si="10"/>
        <v>2016990.3121118045</v>
      </c>
      <c r="AC36" s="1">
        <f t="shared" si="8"/>
        <v>2858534.2893928462</v>
      </c>
      <c r="AD36">
        <f>VLOOKUP(A36,[1]Ark1!$A$3:$B$220, 2, FALSE)</f>
        <v>2.9076</v>
      </c>
      <c r="AE36">
        <f>VLOOKUP(B36,[2]Data!$B$5:$BM$270, 64, FALSE)</f>
        <v>12056108780.207331</v>
      </c>
      <c r="AF36">
        <f>AD36/100*AE36</f>
        <v>350543418.89330834</v>
      </c>
      <c r="AG36" s="4">
        <f>AC36/AF36*100</f>
        <v>0.81545798190063057</v>
      </c>
      <c r="AH36">
        <f>IF(AG36&lt;1, 1, 0)</f>
        <v>1</v>
      </c>
    </row>
    <row r="37" spans="1:34" x14ac:dyDescent="0.2">
      <c r="A37" t="s">
        <v>151</v>
      </c>
      <c r="B37" t="s">
        <v>152</v>
      </c>
      <c r="C37" t="s">
        <v>191</v>
      </c>
      <c r="D37" t="s">
        <v>7</v>
      </c>
      <c r="E37" s="3">
        <v>134554</v>
      </c>
      <c r="F37" s="3">
        <v>47433</v>
      </c>
      <c r="G37" s="3">
        <v>0</v>
      </c>
      <c r="H37" s="3">
        <v>181987</v>
      </c>
      <c r="I37">
        <v>1</v>
      </c>
      <c r="J37" s="6">
        <v>0.14148965999999999</v>
      </c>
      <c r="K37" s="6">
        <v>5.6995700000000003E-2</v>
      </c>
      <c r="L37" t="s">
        <v>8</v>
      </c>
      <c r="M37">
        <v>0</v>
      </c>
      <c r="N37" s="3">
        <v>25749.278999999999</v>
      </c>
      <c r="O37" s="3">
        <v>10372.477000000001</v>
      </c>
      <c r="P37" s="3">
        <v>36121.756000000001</v>
      </c>
      <c r="Q37" s="3">
        <v>3678.4684000000002</v>
      </c>
      <c r="R37" s="3">
        <v>22070.811000000002</v>
      </c>
      <c r="S37" s="3">
        <v>10372.477000000001</v>
      </c>
      <c r="T37" s="3">
        <f t="shared" si="3"/>
        <v>2657.6555165486498</v>
      </c>
      <c r="U37" s="3">
        <v>2044.350397345115</v>
      </c>
      <c r="V37" s="3">
        <v>2482.2852000017097</v>
      </c>
      <c r="W37" s="3">
        <f t="shared" si="4"/>
        <v>3189.1866198583798</v>
      </c>
      <c r="X37" s="3">
        <v>2453.2204768141378</v>
      </c>
      <c r="Y37" s="3">
        <v>3351.0850200023083</v>
      </c>
      <c r="Z37" s="3">
        <f t="shared" si="5"/>
        <v>11731322.202851864</v>
      </c>
      <c r="AA37" s="3">
        <f t="shared" si="9"/>
        <v>54144565.485094719</v>
      </c>
      <c r="AB37" s="3">
        <f t="shared" si="10"/>
        <v>34759052.295018487</v>
      </c>
      <c r="AC37" s="1">
        <f t="shared" si="8"/>
        <v>100634939.98296507</v>
      </c>
      <c r="AD37">
        <f>VLOOKUP(A37,[1]Ark1!$A$3:$B$220, 2, FALSE)</f>
        <v>3.9169999999999998</v>
      </c>
      <c r="AE37">
        <f>VLOOKUP(B37,[2]Data!$B$5:$BM$270, 64, FALSE)</f>
        <v>337339463179.96051</v>
      </c>
      <c r="AF37">
        <f>AD37/100*AE37</f>
        <v>13213586772.759052</v>
      </c>
      <c r="AG37" s="4">
        <f>AC37/AF37*100</f>
        <v>0.76160199129605499</v>
      </c>
      <c r="AH37">
        <f>IF(AG37&lt;1, 1, 0)</f>
        <v>1</v>
      </c>
    </row>
    <row r="38" spans="1:34" x14ac:dyDescent="0.2">
      <c r="A38" t="s">
        <v>137</v>
      </c>
      <c r="B38" t="s">
        <v>138</v>
      </c>
      <c r="C38" t="s">
        <v>33</v>
      </c>
      <c r="D38" t="s">
        <v>36</v>
      </c>
      <c r="E38" s="3">
        <v>60637</v>
      </c>
      <c r="F38" s="3">
        <v>880</v>
      </c>
      <c r="G38" s="3">
        <v>0</v>
      </c>
      <c r="H38" s="3">
        <v>61517</v>
      </c>
      <c r="I38">
        <v>1</v>
      </c>
      <c r="J38" s="6">
        <v>0.25766445999999998</v>
      </c>
      <c r="K38" s="6">
        <v>0.12614410000000001</v>
      </c>
      <c r="L38" t="s">
        <v>32</v>
      </c>
      <c r="M38">
        <v>0</v>
      </c>
      <c r="N38" s="3">
        <v>15850.745000000001</v>
      </c>
      <c r="O38" s="3">
        <v>7760.0068000000001</v>
      </c>
      <c r="P38" s="3">
        <v>23610.752</v>
      </c>
      <c r="Q38" s="3">
        <v>2264.3921</v>
      </c>
      <c r="R38" s="3">
        <v>13586.352999999999</v>
      </c>
      <c r="S38" s="3">
        <v>7760.0068000000001</v>
      </c>
      <c r="T38" s="3">
        <f t="shared" si="3"/>
        <v>285.48127625680701</v>
      </c>
      <c r="U38" s="3">
        <v>219.60098173600539</v>
      </c>
      <c r="V38" s="3">
        <v>260.00971326805416</v>
      </c>
      <c r="W38" s="3">
        <f t="shared" si="4"/>
        <v>342.57753150816842</v>
      </c>
      <c r="X38" s="3">
        <v>263.52117808320645</v>
      </c>
      <c r="Y38" s="3">
        <v>351.01311291187312</v>
      </c>
      <c r="Z38" s="3">
        <f t="shared" si="5"/>
        <v>775729.8559845977</v>
      </c>
      <c r="AA38" s="3">
        <f t="shared" si="9"/>
        <v>3580291.748414306</v>
      </c>
      <c r="AB38" s="3">
        <f t="shared" si="10"/>
        <v>2723864.1430853033</v>
      </c>
      <c r="AC38" s="1">
        <f t="shared" si="8"/>
        <v>7079885.7474842072</v>
      </c>
      <c r="AD38">
        <f>VLOOKUP(A38,[1]Ark1!$A$3:$B$220, 2, FALSE)</f>
        <v>3.7633999999999999</v>
      </c>
      <c r="AE38">
        <f>VLOOKUP(B38,[2]Data!$B$5:$BM$270, 64, FALSE)</f>
        <v>17465392779.036621</v>
      </c>
      <c r="AF38">
        <f>AD38/100*AE38</f>
        <v>657292591.84626424</v>
      </c>
      <c r="AG38" s="4">
        <f>AC38/AF38*100</f>
        <v>1.0771284866603423</v>
      </c>
      <c r="AH38">
        <f>IF(AG38&lt;1, 1, 0)</f>
        <v>0</v>
      </c>
    </row>
    <row r="39" spans="1:34" x14ac:dyDescent="0.2">
      <c r="A39" t="s">
        <v>155</v>
      </c>
      <c r="B39" t="s">
        <v>156</v>
      </c>
      <c r="C39" t="s">
        <v>33</v>
      </c>
      <c r="D39" t="s">
        <v>20</v>
      </c>
      <c r="E39" s="3">
        <v>100981</v>
      </c>
      <c r="F39" s="3">
        <v>5389</v>
      </c>
      <c r="G39" s="3">
        <v>0</v>
      </c>
      <c r="H39" s="3">
        <v>106370</v>
      </c>
      <c r="I39">
        <v>1</v>
      </c>
      <c r="J39" s="6">
        <v>0.23612363</v>
      </c>
      <c r="K39" s="6">
        <v>0.14334379999999999</v>
      </c>
      <c r="L39" t="s">
        <v>32</v>
      </c>
      <c r="M39">
        <v>0</v>
      </c>
      <c r="N39" s="3">
        <v>25116.47</v>
      </c>
      <c r="O39" s="3">
        <v>15247.48</v>
      </c>
      <c r="P39" s="3">
        <v>40363.949999999997</v>
      </c>
      <c r="Q39" s="3">
        <v>3588.0672</v>
      </c>
      <c r="R39" s="3">
        <v>21528.402999999998</v>
      </c>
      <c r="S39" s="3">
        <v>15247.48</v>
      </c>
      <c r="T39" s="3">
        <f t="shared" si="3"/>
        <v>159.22933093253562</v>
      </c>
      <c r="U39" s="3">
        <v>122.4841007173351</v>
      </c>
      <c r="V39" s="3">
        <v>251.38984637423064</v>
      </c>
      <c r="W39" s="3">
        <f t="shared" si="4"/>
        <v>191.07519711904274</v>
      </c>
      <c r="X39" s="3">
        <v>146.98092086080212</v>
      </c>
      <c r="Y39" s="3">
        <v>339.3762926052114</v>
      </c>
      <c r="Z39" s="3">
        <f t="shared" si="5"/>
        <v>685590.6475163718</v>
      </c>
      <c r="AA39" s="3">
        <f t="shared" si="9"/>
        <v>3164264.4976024544</v>
      </c>
      <c r="AB39" s="3">
        <f t="shared" si="10"/>
        <v>5174633.2339721089</v>
      </c>
      <c r="AC39" s="1">
        <f t="shared" si="8"/>
        <v>9024488.379090935</v>
      </c>
      <c r="AD39">
        <f>VLOOKUP(A39,[1]Ark1!$A$3:$B$220, 2, FALSE)</f>
        <v>1.8812</v>
      </c>
      <c r="AE39">
        <f>VLOOKUP(B39,[2]Data!$B$5:$BM$270, 64, FALSE)</f>
        <v>8405498735.7429285</v>
      </c>
      <c r="AF39">
        <f>AD39/100*AE39</f>
        <v>158124242.21679595</v>
      </c>
      <c r="AG39" s="4">
        <f>AC39/AF39*100</f>
        <v>5.7072136774055977</v>
      </c>
      <c r="AH39">
        <f>IF(AG39&lt;1, 1, 0)</f>
        <v>0</v>
      </c>
    </row>
    <row r="40" spans="1:34" x14ac:dyDescent="0.2">
      <c r="A40" t="s">
        <v>161</v>
      </c>
      <c r="B40" t="s">
        <v>162</v>
      </c>
      <c r="C40" t="s">
        <v>11</v>
      </c>
      <c r="D40" t="s">
        <v>7</v>
      </c>
      <c r="E40" s="3">
        <v>95579</v>
      </c>
      <c r="F40" s="3">
        <v>210609</v>
      </c>
      <c r="G40" s="3">
        <v>53027</v>
      </c>
      <c r="H40" s="3">
        <v>359215</v>
      </c>
      <c r="I40">
        <v>1</v>
      </c>
      <c r="J40" s="6">
        <v>0.12190962</v>
      </c>
      <c r="K40" s="6">
        <v>8.4506010000000006E-2</v>
      </c>
      <c r="L40" t="s">
        <v>8</v>
      </c>
      <c r="M40">
        <v>0</v>
      </c>
      <c r="N40" s="3">
        <v>43791.766000000003</v>
      </c>
      <c r="O40" s="3">
        <v>30355.827000000001</v>
      </c>
      <c r="P40" s="3">
        <v>74147.592000000004</v>
      </c>
      <c r="Q40" s="3">
        <v>6255.9665000000005</v>
      </c>
      <c r="R40" s="3">
        <v>37535.798999999999</v>
      </c>
      <c r="S40" s="3">
        <v>30355.827000000001</v>
      </c>
      <c r="T40" s="3">
        <f t="shared" si="3"/>
        <v>1964.3410579588351</v>
      </c>
      <c r="U40" s="3">
        <v>1511.0315830452578</v>
      </c>
      <c r="V40" s="3">
        <v>1516.6024099744104</v>
      </c>
      <c r="W40" s="3">
        <f t="shared" si="4"/>
        <v>2357.2092695506021</v>
      </c>
      <c r="X40" s="3">
        <v>1813.2378996543093</v>
      </c>
      <c r="Y40" s="3">
        <v>2047.4132534654541</v>
      </c>
      <c r="Z40" s="3">
        <f t="shared" si="5"/>
        <v>14746622.223798038</v>
      </c>
      <c r="AA40" s="3">
        <f t="shared" si="9"/>
        <v>68061333.340606317</v>
      </c>
      <c r="AB40" s="3">
        <f t="shared" si="10"/>
        <v>62150922.519704476</v>
      </c>
      <c r="AC40" s="1">
        <f t="shared" si="8"/>
        <v>144958878.08410883</v>
      </c>
      <c r="AD40">
        <f>VLOOKUP(A40,[1]Ark1!$A$3:$B$220, 2, FALSE)</f>
        <v>4.7275</v>
      </c>
      <c r="AE40">
        <f>VLOOKUP(B40,[2]Data!$B$5:$BM$270, 64, FALSE)</f>
        <v>1090514966785.9084</v>
      </c>
      <c r="AF40">
        <f>AD40/100*AE40</f>
        <v>51554095054.803818</v>
      </c>
      <c r="AG40" s="4">
        <f>AC40/AF40*100</f>
        <v>0.28117820307002278</v>
      </c>
      <c r="AH40">
        <f>IF(AG40&lt;1, 1, 0)</f>
        <v>1</v>
      </c>
    </row>
    <row r="41" spans="1:34" x14ac:dyDescent="0.2">
      <c r="A41" t="s">
        <v>111</v>
      </c>
      <c r="B41" t="s">
        <v>112</v>
      </c>
      <c r="C41" t="s">
        <v>4</v>
      </c>
      <c r="D41" t="s">
        <v>7</v>
      </c>
      <c r="E41" s="3">
        <v>32438</v>
      </c>
      <c r="F41" s="3">
        <v>167</v>
      </c>
      <c r="G41" s="3">
        <v>0</v>
      </c>
      <c r="H41" s="3">
        <v>32605</v>
      </c>
      <c r="J41" s="6">
        <v>0.18</v>
      </c>
      <c r="K41" s="6">
        <v>0.13</v>
      </c>
      <c r="L41" t="s">
        <v>8</v>
      </c>
      <c r="M41">
        <v>1</v>
      </c>
      <c r="N41" s="3">
        <v>5868.9</v>
      </c>
      <c r="O41" s="3">
        <v>4238.6499999999996</v>
      </c>
      <c r="P41" s="3">
        <v>10107.549999999999</v>
      </c>
      <c r="Q41" s="3">
        <v>838.41429000000005</v>
      </c>
      <c r="R41" s="3">
        <v>5030.4857000000002</v>
      </c>
      <c r="S41" s="3">
        <v>4238.6499999999996</v>
      </c>
      <c r="T41" s="3">
        <f t="shared" si="3"/>
        <v>1808.1008300160001</v>
      </c>
      <c r="U41" s="3">
        <v>1390.8467923200001</v>
      </c>
      <c r="V41" s="3">
        <v>1709.6830272</v>
      </c>
      <c r="W41" s="3">
        <f t="shared" si="4"/>
        <v>2169.7209960191999</v>
      </c>
      <c r="X41" s="3">
        <v>1669.016150784</v>
      </c>
      <c r="Y41" s="3">
        <v>2308.0720867200002</v>
      </c>
      <c r="Z41" s="3">
        <f t="shared" si="5"/>
        <v>1819125.0883755304</v>
      </c>
      <c r="AA41" s="3">
        <f t="shared" si="9"/>
        <v>8395961.8795879558</v>
      </c>
      <c r="AB41" s="3">
        <f t="shared" si="10"/>
        <v>9783109.7503757291</v>
      </c>
      <c r="AC41" s="1">
        <f t="shared" si="8"/>
        <v>19998196.718339216</v>
      </c>
      <c r="AE41">
        <f>VLOOKUP(B41,[2]Data!$B$5:$BM$270, 64, FALSE)</f>
        <v>4769995511.5524244</v>
      </c>
      <c r="AG41" s="4"/>
    </row>
    <row r="42" spans="1:34" x14ac:dyDescent="0.2">
      <c r="A42" t="s">
        <v>87</v>
      </c>
      <c r="B42" t="s">
        <v>88</v>
      </c>
      <c r="C42" t="s">
        <v>18</v>
      </c>
      <c r="D42" t="s">
        <v>20</v>
      </c>
      <c r="E42" s="3">
        <v>7907</v>
      </c>
      <c r="F42" s="3">
        <v>10159</v>
      </c>
      <c r="G42" s="3">
        <v>0</v>
      </c>
      <c r="H42" s="3">
        <v>18066</v>
      </c>
      <c r="I42">
        <v>1</v>
      </c>
      <c r="J42" s="6">
        <v>0.14303780999999999</v>
      </c>
      <c r="K42" s="6">
        <v>0.10408499</v>
      </c>
      <c r="L42" t="s">
        <v>8</v>
      </c>
      <c r="M42">
        <v>0</v>
      </c>
      <c r="N42" s="3">
        <v>2584.1212</v>
      </c>
      <c r="O42" s="3">
        <v>1880.3994</v>
      </c>
      <c r="P42" s="3">
        <v>4464.5205999999998</v>
      </c>
      <c r="Q42" s="3">
        <v>369.16016999999999</v>
      </c>
      <c r="R42" s="3">
        <v>2214.9609999999998</v>
      </c>
      <c r="S42" s="3">
        <v>1880.3994</v>
      </c>
      <c r="T42" s="3">
        <f t="shared" si="3"/>
        <v>1069.6165339837748</v>
      </c>
      <c r="U42" s="3">
        <v>822.78194921828833</v>
      </c>
      <c r="V42" s="3">
        <v>1284.17</v>
      </c>
      <c r="W42" s="3">
        <f t="shared" si="4"/>
        <v>1283.5398407805299</v>
      </c>
      <c r="X42" s="3">
        <v>987.33833906194593</v>
      </c>
      <c r="Y42" s="3">
        <v>1733.6295000000002</v>
      </c>
      <c r="Z42" s="3">
        <f t="shared" si="5"/>
        <v>473831.78582431335</v>
      </c>
      <c r="AA42" s="3">
        <f t="shared" si="9"/>
        <v>2186915.9148269864</v>
      </c>
      <c r="AB42" s="3">
        <f t="shared" si="10"/>
        <v>3259915.8716223002</v>
      </c>
      <c r="AC42" s="1">
        <f t="shared" si="8"/>
        <v>5920663.5722735999</v>
      </c>
      <c r="AD42">
        <f>VLOOKUP(A42,[1]Ark1!$A$3:$B$220, 2, FALSE)</f>
        <v>6.7542999999999997</v>
      </c>
      <c r="AE42">
        <f>VLOOKUP(B42,[2]Data!$B$5:$BM$270, 64, FALSE)</f>
        <v>121347533649.79297</v>
      </c>
      <c r="AF42">
        <f>AD42/100*AE42</f>
        <v>8196176465.3079653</v>
      </c>
      <c r="AG42" s="4">
        <f>AC42/AF42*100</f>
        <v>7.2236897257325405E-2</v>
      </c>
      <c r="AH42">
        <f>IF(AG42&lt;1, 1, 0)</f>
        <v>1</v>
      </c>
    </row>
    <row r="43" spans="1:34" x14ac:dyDescent="0.2">
      <c r="A43" t="s">
        <v>107</v>
      </c>
      <c r="B43" t="s">
        <v>108</v>
      </c>
      <c r="C43" t="s">
        <v>33</v>
      </c>
      <c r="D43" t="s">
        <v>36</v>
      </c>
      <c r="E43" s="3">
        <v>4992</v>
      </c>
      <c r="F43" s="3">
        <v>25919</v>
      </c>
      <c r="G43" s="3">
        <v>0</v>
      </c>
      <c r="H43" s="3">
        <v>30911</v>
      </c>
      <c r="I43">
        <v>1</v>
      </c>
      <c r="J43" s="6">
        <v>0.17327724</v>
      </c>
      <c r="K43" s="6">
        <v>0.14082532</v>
      </c>
      <c r="L43" t="s">
        <v>32</v>
      </c>
      <c r="M43">
        <v>0</v>
      </c>
      <c r="N43" s="3">
        <v>5356.1728999999996</v>
      </c>
      <c r="O43" s="3">
        <v>4353.0514999999996</v>
      </c>
      <c r="P43" s="3">
        <v>9709.2243999999992</v>
      </c>
      <c r="Q43" s="3">
        <v>765.16755000000001</v>
      </c>
      <c r="R43" s="3">
        <v>4591.0052999999998</v>
      </c>
      <c r="S43" s="3">
        <v>4353.0514999999996</v>
      </c>
      <c r="T43" s="3">
        <f t="shared" si="3"/>
        <v>103.17612043960547</v>
      </c>
      <c r="U43" s="3">
        <v>79.366246492004208</v>
      </c>
      <c r="V43" s="3">
        <v>296.0238436236736</v>
      </c>
      <c r="W43" s="3">
        <f t="shared" si="4"/>
        <v>123.81134452752656</v>
      </c>
      <c r="X43" s="3">
        <v>95.239495790405044</v>
      </c>
      <c r="Y43" s="3">
        <v>399.6321888919594</v>
      </c>
      <c r="Z43" s="3">
        <f t="shared" si="5"/>
        <v>94736.423154333403</v>
      </c>
      <c r="AA43" s="3">
        <f t="shared" si="9"/>
        <v>437245.02994307724</v>
      </c>
      <c r="AB43" s="3">
        <f t="shared" si="10"/>
        <v>1739619.4993044271</v>
      </c>
      <c r="AC43" s="1">
        <f t="shared" si="8"/>
        <v>2271600.9524018378</v>
      </c>
      <c r="AD43">
        <f>VLOOKUP(A43,[1]Ark1!$A$3:$B$220, 2, FALSE)</f>
        <v>6.2606000000000002</v>
      </c>
      <c r="AE43">
        <f>VLOOKUP(B43,[2]Data!$B$5:$BM$270, 64, FALSE)</f>
        <v>14156864916.471071</v>
      </c>
      <c r="AF43">
        <f>AD43/100*AE43</f>
        <v>886304684.96058786</v>
      </c>
      <c r="AG43" s="4">
        <f>AC43/AF43*100</f>
        <v>0.25630023071612795</v>
      </c>
      <c r="AH43">
        <f>IF(AG43&lt;1, 1, 0)</f>
        <v>1</v>
      </c>
    </row>
    <row r="44" spans="1:34" x14ac:dyDescent="0.2">
      <c r="A44" t="s">
        <v>71</v>
      </c>
      <c r="B44" t="s">
        <v>72</v>
      </c>
      <c r="C44" t="s">
        <v>33</v>
      </c>
      <c r="D44" t="s">
        <v>7</v>
      </c>
      <c r="E44" s="3">
        <v>4685</v>
      </c>
      <c r="F44" s="3">
        <v>2512</v>
      </c>
      <c r="G44" s="3">
        <v>0</v>
      </c>
      <c r="H44" s="3">
        <v>7197</v>
      </c>
      <c r="I44">
        <v>1</v>
      </c>
      <c r="J44" s="6">
        <v>0.19551761000000001</v>
      </c>
      <c r="K44" s="6">
        <v>0.13489861</v>
      </c>
      <c r="L44" t="s">
        <v>8</v>
      </c>
      <c r="M44">
        <v>0</v>
      </c>
      <c r="N44" s="3">
        <v>1407.1402</v>
      </c>
      <c r="O44" s="3">
        <v>970.86531000000002</v>
      </c>
      <c r="P44" s="3">
        <v>2378.0055000000002</v>
      </c>
      <c r="Q44" s="3">
        <v>201.02002999999999</v>
      </c>
      <c r="R44" s="3">
        <v>1206.1202000000001</v>
      </c>
      <c r="S44" s="3">
        <v>970.86531000000002</v>
      </c>
      <c r="T44" s="3">
        <f t="shared" si="3"/>
        <v>269.69883858953671</v>
      </c>
      <c r="U44" s="3">
        <v>207.46064506887438</v>
      </c>
      <c r="V44" s="3">
        <v>754.61</v>
      </c>
      <c r="W44" s="3">
        <f t="shared" si="4"/>
        <v>323.63860630744404</v>
      </c>
      <c r="X44" s="3">
        <v>248.95277408264926</v>
      </c>
      <c r="Y44" s="3">
        <v>1018.7235000000001</v>
      </c>
      <c r="Z44" s="3">
        <f t="shared" si="5"/>
        <v>65057.842349080587</v>
      </c>
      <c r="AA44" s="3">
        <f t="shared" si="9"/>
        <v>300266.96966711973</v>
      </c>
      <c r="AB44" s="3">
        <f t="shared" si="10"/>
        <v>989043.30663178512</v>
      </c>
      <c r="AC44" s="1">
        <f t="shared" si="8"/>
        <v>1354368.1186479854</v>
      </c>
      <c r="AD44">
        <f>VLOOKUP(A44,[1]Ark1!$A$3:$B$220, 2, FALSE)</f>
        <v>9.4468999999999994</v>
      </c>
      <c r="AE44">
        <f>VLOOKUP(B44,[2]Data!$B$5:$BM$270, 64, FALSE)</f>
        <v>10583748757.334488</v>
      </c>
      <c r="AF44">
        <f>AD44/100*AE44</f>
        <v>999836161.35663176</v>
      </c>
      <c r="AG44" s="4">
        <f>AC44/AF44*100</f>
        <v>0.13545900528445634</v>
      </c>
      <c r="AH44">
        <f>IF(AG44&lt;1, 1, 0)</f>
        <v>1</v>
      </c>
    </row>
    <row r="45" spans="1:34" x14ac:dyDescent="0.2">
      <c r="A45" t="s">
        <v>67</v>
      </c>
      <c r="B45" t="s">
        <v>68</v>
      </c>
      <c r="C45" t="s">
        <v>27</v>
      </c>
      <c r="D45" t="s">
        <v>20</v>
      </c>
      <c r="E45" s="3">
        <v>19560</v>
      </c>
      <c r="F45" s="3">
        <v>154</v>
      </c>
      <c r="G45" s="3">
        <v>0</v>
      </c>
      <c r="H45" s="3">
        <v>19714</v>
      </c>
      <c r="I45">
        <v>0.36</v>
      </c>
      <c r="J45" s="6">
        <v>4.4631900000000002E-2</v>
      </c>
      <c r="K45" s="6">
        <v>4.2842539999999998E-2</v>
      </c>
      <c r="L45" t="s">
        <v>32</v>
      </c>
      <c r="M45">
        <v>0</v>
      </c>
      <c r="N45" s="3">
        <v>879.87330999999995</v>
      </c>
      <c r="O45" s="3">
        <v>844.59775000000002</v>
      </c>
      <c r="P45" s="3">
        <v>1724.4711</v>
      </c>
      <c r="Q45" s="3">
        <v>125.69619</v>
      </c>
      <c r="R45" s="3">
        <v>754.17713000000003</v>
      </c>
      <c r="S45" s="3">
        <v>844.59775000000002</v>
      </c>
      <c r="T45" s="3">
        <f t="shared" si="3"/>
        <v>202.771295697857</v>
      </c>
      <c r="U45" s="3">
        <v>155.97791976758231</v>
      </c>
      <c r="V45" s="3">
        <v>111.53910151403292</v>
      </c>
      <c r="W45" s="3">
        <f t="shared" si="4"/>
        <v>243.3255548374284</v>
      </c>
      <c r="X45" s="3">
        <v>187.17350372109877</v>
      </c>
      <c r="Y45" s="3">
        <v>150.57778704394445</v>
      </c>
      <c r="Z45" s="3">
        <f t="shared" si="5"/>
        <v>30585.095172700818</v>
      </c>
      <c r="AA45" s="3">
        <f t="shared" si="9"/>
        <v>141161.97584842259</v>
      </c>
      <c r="AB45" s="3">
        <f t="shared" si="10"/>
        <v>127177.66013729465</v>
      </c>
      <c r="AC45" s="1">
        <f t="shared" si="8"/>
        <v>298924.73115841806</v>
      </c>
      <c r="AD45">
        <f>VLOOKUP(A45,[1]Ark1!$A$3:$B$220, 2, FALSE)</f>
        <v>4.4629000000000003</v>
      </c>
      <c r="AE45">
        <f>VLOOKUP(B45,[2]Data!$B$5:$BM$270, 64, FALSE)</f>
        <v>33433659223.178932</v>
      </c>
      <c r="AF45">
        <f>AD45/100*AE45</f>
        <v>1492110777.4712527</v>
      </c>
      <c r="AG45" s="4">
        <f>AC45/AF45*100</f>
        <v>2.0033682195166453E-2</v>
      </c>
      <c r="AH45">
        <f>IF(AG45&lt;1, 1, 0)</f>
        <v>1</v>
      </c>
    </row>
    <row r="46" spans="1:34" x14ac:dyDescent="0.2">
      <c r="A46" t="s">
        <v>49</v>
      </c>
      <c r="B46" t="s">
        <v>50</v>
      </c>
      <c r="C46" t="s">
        <v>33</v>
      </c>
      <c r="D46" t="s">
        <v>36</v>
      </c>
      <c r="E46" s="3">
        <v>255307</v>
      </c>
      <c r="F46" s="3">
        <v>46705</v>
      </c>
      <c r="G46" s="3">
        <v>0</v>
      </c>
      <c r="H46" s="3">
        <v>302012</v>
      </c>
      <c r="I46">
        <v>1</v>
      </c>
      <c r="J46" s="6">
        <v>0.30027769999999998</v>
      </c>
      <c r="K46" s="6">
        <v>0.17102939</v>
      </c>
      <c r="L46" t="s">
        <v>32</v>
      </c>
      <c r="M46">
        <v>0</v>
      </c>
      <c r="N46" s="3">
        <v>90687.47</v>
      </c>
      <c r="O46" s="3">
        <v>51652.928</v>
      </c>
      <c r="P46" s="3">
        <v>142340.4</v>
      </c>
      <c r="Q46" s="3">
        <v>12955.352999999999</v>
      </c>
      <c r="R46" s="3">
        <v>77732.116999999998</v>
      </c>
      <c r="S46" s="3">
        <v>51652.928</v>
      </c>
      <c r="T46" s="3">
        <f t="shared" si="3"/>
        <v>104.61614563555821</v>
      </c>
      <c r="U46" s="3">
        <v>80.473958181198626</v>
      </c>
      <c r="V46" s="3">
        <v>92.700930292654647</v>
      </c>
      <c r="W46" s="3">
        <f t="shared" si="4"/>
        <v>125.53937476266985</v>
      </c>
      <c r="X46" s="3">
        <v>96.568749817438345</v>
      </c>
      <c r="Y46" s="3">
        <v>125.14625589508378</v>
      </c>
      <c r="Z46" s="3">
        <f t="shared" si="5"/>
        <v>1626406.9154496791</v>
      </c>
      <c r="AA46" s="3">
        <f t="shared" si="9"/>
        <v>7506493.3593528457</v>
      </c>
      <c r="AB46" s="3">
        <f t="shared" si="10"/>
        <v>6464170.5452183383</v>
      </c>
      <c r="AC46" s="1">
        <f t="shared" si="8"/>
        <v>15597070.820020862</v>
      </c>
      <c r="AD46">
        <f>VLOOKUP(A46,[1]Ark1!$A$3:$B$220, 2, FALSE)</f>
        <v>3.8376000000000001</v>
      </c>
      <c r="AE46">
        <f>VLOOKUP(B46,[2]Data!$B$5:$BM$270, 64, FALSE)</f>
        <v>13744174582.253189</v>
      </c>
      <c r="AF46">
        <f>AD46/100*AE46</f>
        <v>527446443.76854837</v>
      </c>
      <c r="AG46" s="4">
        <f>AC46/AF46*100</f>
        <v>2.9570909054920271</v>
      </c>
      <c r="AH46">
        <f>IF(AG46&lt;1, 1, 0)</f>
        <v>0</v>
      </c>
    </row>
    <row r="47" spans="1:34" x14ac:dyDescent="0.2">
      <c r="A47" t="s">
        <v>147</v>
      </c>
      <c r="B47" t="s">
        <v>148</v>
      </c>
      <c r="C47" t="s">
        <v>33</v>
      </c>
      <c r="D47" t="s">
        <v>20</v>
      </c>
      <c r="E47" s="3">
        <v>91275</v>
      </c>
      <c r="F47" s="3">
        <v>1623</v>
      </c>
      <c r="G47" s="3">
        <v>0</v>
      </c>
      <c r="H47" s="3">
        <v>92898</v>
      </c>
      <c r="I47">
        <v>1</v>
      </c>
      <c r="J47" s="6">
        <v>0.24426185</v>
      </c>
      <c r="K47" s="6">
        <v>0.14388387</v>
      </c>
      <c r="L47" t="s">
        <v>64</v>
      </c>
      <c r="M47">
        <v>0</v>
      </c>
      <c r="N47" s="3">
        <v>22691.437000000002</v>
      </c>
      <c r="O47" s="3">
        <v>13366.523999999999</v>
      </c>
      <c r="P47" s="3">
        <v>36057.96</v>
      </c>
      <c r="Q47" s="3">
        <v>3241.6338999999998</v>
      </c>
      <c r="R47" s="3">
        <v>19449.803</v>
      </c>
      <c r="S47" s="3">
        <v>13366.523999999999</v>
      </c>
      <c r="T47" s="3">
        <f t="shared" si="3"/>
        <v>285.02499999999998</v>
      </c>
      <c r="U47" s="3">
        <v>219.24999999999997</v>
      </c>
      <c r="V47" s="3">
        <v>571.83396342718459</v>
      </c>
      <c r="W47" s="3">
        <f t="shared" si="4"/>
        <v>342.03</v>
      </c>
      <c r="X47" s="3">
        <v>263.09999999999997</v>
      </c>
      <c r="Y47" s="3">
        <v>771.97585062669918</v>
      </c>
      <c r="Z47" s="3">
        <f t="shared" si="5"/>
        <v>1108736.0428169998</v>
      </c>
      <c r="AA47" s="3">
        <f t="shared" si="9"/>
        <v>5117243.1692999993</v>
      </c>
      <c r="AB47" s="3">
        <f t="shared" si="10"/>
        <v>10318633.734822189</v>
      </c>
      <c r="AC47" s="1">
        <f t="shared" si="8"/>
        <v>16544612.946939189</v>
      </c>
      <c r="AE47">
        <f>VLOOKUP(B47,[2]Data!$B$5:$BM$270, 64, FALSE)</f>
        <v>432198936002.17651</v>
      </c>
      <c r="AG47" s="4"/>
    </row>
    <row r="48" spans="1:34" x14ac:dyDescent="0.2">
      <c r="A48" t="s">
        <v>28</v>
      </c>
      <c r="B48" t="s">
        <v>29</v>
      </c>
      <c r="C48" t="s">
        <v>27</v>
      </c>
      <c r="D48" t="s">
        <v>20</v>
      </c>
      <c r="E48" s="3">
        <v>1700000</v>
      </c>
      <c r="F48" s="3">
        <v>38277</v>
      </c>
      <c r="G48" s="3">
        <v>0</v>
      </c>
      <c r="H48" s="3">
        <v>1800000</v>
      </c>
      <c r="I48">
        <v>0.84</v>
      </c>
      <c r="J48" s="6">
        <v>0.19348141999999999</v>
      </c>
      <c r="K48" s="6">
        <v>0.11883231</v>
      </c>
      <c r="L48" t="s">
        <v>64</v>
      </c>
      <c r="M48">
        <v>0</v>
      </c>
      <c r="N48" s="3">
        <v>344795.89</v>
      </c>
      <c r="O48" s="3">
        <v>211766.54</v>
      </c>
      <c r="P48" s="3">
        <v>556562.43000000005</v>
      </c>
      <c r="Q48" s="3">
        <v>49256.555</v>
      </c>
      <c r="R48" s="3">
        <v>295539.33</v>
      </c>
      <c r="S48" s="3">
        <v>211766.54</v>
      </c>
      <c r="T48" s="3">
        <f t="shared" si="3"/>
        <v>277.80970808222321</v>
      </c>
      <c r="U48" s="3">
        <v>213.699775447864</v>
      </c>
      <c r="V48" s="3">
        <v>407.29218619875866</v>
      </c>
      <c r="W48" s="3">
        <f t="shared" si="4"/>
        <v>333.37164969866785</v>
      </c>
      <c r="X48" s="3">
        <v>256.43973053743679</v>
      </c>
      <c r="Y48" s="3">
        <v>549.84445136832426</v>
      </c>
      <c r="Z48" s="3">
        <f t="shared" si="5"/>
        <v>16420738.998823166</v>
      </c>
      <c r="AA48" s="3">
        <f t="shared" si="9"/>
        <v>75788026.148414612</v>
      </c>
      <c r="AB48" s="3">
        <f t="shared" si="10"/>
        <v>116438657.00446829</v>
      </c>
      <c r="AC48" s="1">
        <f t="shared" si="8"/>
        <v>208647422.15170607</v>
      </c>
      <c r="AD48">
        <f>VLOOKUP(A48,[1]Ark1!$A$3:$B$220, 2, FALSE)</f>
        <v>2.5847000000000002</v>
      </c>
      <c r="AE48">
        <f>VLOOKUP(B48,[2]Data!$B$5:$BM$270, 64, FALSE)</f>
        <v>300425609206.1795</v>
      </c>
      <c r="AF48">
        <f t="shared" ref="AF48:AF73" si="11">AD48/100*AE48</f>
        <v>7765100721.1521225</v>
      </c>
      <c r="AG48" s="4">
        <f t="shared" ref="AG48:AG73" si="12">AC48/AF48*100</f>
        <v>2.686989256731092</v>
      </c>
      <c r="AH48">
        <f t="shared" ref="AH48:AH73" si="13">IF(AG48&lt;1, 1, 0)</f>
        <v>0</v>
      </c>
    </row>
    <row r="49" spans="1:34" x14ac:dyDescent="0.2">
      <c r="A49" t="s">
        <v>85</v>
      </c>
      <c r="B49" t="s">
        <v>86</v>
      </c>
      <c r="C49" t="s">
        <v>191</v>
      </c>
      <c r="D49" t="s">
        <v>20</v>
      </c>
      <c r="E49" s="3">
        <v>10524</v>
      </c>
      <c r="F49" s="3">
        <v>3303</v>
      </c>
      <c r="G49" s="3">
        <v>0</v>
      </c>
      <c r="H49" s="3">
        <v>13827</v>
      </c>
      <c r="I49">
        <v>0.01</v>
      </c>
      <c r="J49" s="6">
        <v>0.18</v>
      </c>
      <c r="K49" s="6">
        <v>0.13</v>
      </c>
      <c r="L49" t="s">
        <v>64</v>
      </c>
      <c r="M49">
        <v>1</v>
      </c>
      <c r="N49" s="3">
        <v>2488.86</v>
      </c>
      <c r="O49" s="3">
        <v>1797.51</v>
      </c>
      <c r="P49" s="3">
        <v>4286.37</v>
      </c>
      <c r="Q49" s="3">
        <v>355.55142999999998</v>
      </c>
      <c r="R49" s="3">
        <v>2133.3085999999998</v>
      </c>
      <c r="S49" s="3">
        <v>1797.51</v>
      </c>
      <c r="T49" s="3">
        <f t="shared" si="3"/>
        <v>490.36</v>
      </c>
      <c r="U49" s="3">
        <v>377.2</v>
      </c>
      <c r="V49" s="3">
        <v>1908.2948024958566</v>
      </c>
      <c r="W49" s="3">
        <f t="shared" si="4"/>
        <v>588.43200000000002</v>
      </c>
      <c r="X49" s="3">
        <v>452.64</v>
      </c>
      <c r="Y49" s="3">
        <v>2576.1979833694068</v>
      </c>
      <c r="Z49" s="3">
        <f t="shared" si="5"/>
        <v>209217.83905775999</v>
      </c>
      <c r="AA49" s="3">
        <f t="shared" si="9"/>
        <v>965620.80470399989</v>
      </c>
      <c r="AB49" s="3">
        <f t="shared" si="10"/>
        <v>4630741.6370863421</v>
      </c>
      <c r="AC49" s="1">
        <f t="shared" si="8"/>
        <v>5805580.2808481017</v>
      </c>
      <c r="AD49">
        <f>VLOOKUP(A49,[1]Ark1!$A$3:$B$220, 2, FALSE)</f>
        <v>1.35</v>
      </c>
      <c r="AE49">
        <f>VLOOKUP(B49,[2]Data!$B$5:$BM$270, 64, FALSE)</f>
        <v>23848442440.266956</v>
      </c>
      <c r="AF49">
        <f t="shared" si="11"/>
        <v>321953972.94360393</v>
      </c>
      <c r="AG49" s="4">
        <f t="shared" si="12"/>
        <v>1.8032329987321059</v>
      </c>
      <c r="AH49">
        <f t="shared" si="13"/>
        <v>0</v>
      </c>
    </row>
    <row r="50" spans="1:34" x14ac:dyDescent="0.2">
      <c r="A50" t="s">
        <v>65</v>
      </c>
      <c r="B50" t="s">
        <v>66</v>
      </c>
      <c r="C50" t="s">
        <v>11</v>
      </c>
      <c r="D50" t="s">
        <v>7</v>
      </c>
      <c r="E50" s="3">
        <v>5420</v>
      </c>
      <c r="F50" s="3">
        <v>1200</v>
      </c>
      <c r="G50" s="3">
        <v>1004</v>
      </c>
      <c r="H50" s="3">
        <v>7624</v>
      </c>
      <c r="I50">
        <v>0.96</v>
      </c>
      <c r="J50" s="6">
        <v>9.4664369999999998E-2</v>
      </c>
      <c r="K50" s="6">
        <v>6.6743159999999996E-2</v>
      </c>
      <c r="L50" t="s">
        <v>8</v>
      </c>
      <c r="M50">
        <v>0</v>
      </c>
      <c r="N50" s="3">
        <v>721.72117000000003</v>
      </c>
      <c r="O50" s="3">
        <v>508.84987999999998</v>
      </c>
      <c r="P50" s="3">
        <v>1230.5709999999999</v>
      </c>
      <c r="Q50" s="3">
        <v>103.10302</v>
      </c>
      <c r="R50" s="3">
        <v>618.61815000000001</v>
      </c>
      <c r="S50" s="3">
        <v>508.84987999999998</v>
      </c>
      <c r="T50" s="3">
        <f t="shared" si="3"/>
        <v>1134.7362532342181</v>
      </c>
      <c r="U50" s="3">
        <v>872.87404094939848</v>
      </c>
      <c r="V50" s="3">
        <v>878.11049114705816</v>
      </c>
      <c r="W50" s="3">
        <f t="shared" si="4"/>
        <v>1361.6835038810616</v>
      </c>
      <c r="X50" s="3">
        <v>1047.4488491392781</v>
      </c>
      <c r="Y50" s="3">
        <v>1185.4491630485286</v>
      </c>
      <c r="Z50" s="3">
        <f t="shared" si="5"/>
        <v>140393.68153431918</v>
      </c>
      <c r="AA50" s="3">
        <f t="shared" si="9"/>
        <v>647970.86927416932</v>
      </c>
      <c r="AB50" s="3">
        <f t="shared" si="10"/>
        <v>603215.6643633442</v>
      </c>
      <c r="AC50" s="1">
        <f t="shared" si="8"/>
        <v>1391580.2151718326</v>
      </c>
      <c r="AD50">
        <f>VLOOKUP(A50,[1]Ark1!$A$3:$B$220, 2, FALSE)</f>
        <v>3.3035999999999999</v>
      </c>
      <c r="AE50">
        <f>VLOOKUP(B50,[2]Data!$B$5:$BM$270, 64, FALSE)</f>
        <v>35432177936.331673</v>
      </c>
      <c r="AF50">
        <f t="shared" si="11"/>
        <v>1170537430.3046529</v>
      </c>
      <c r="AG50" s="4">
        <f t="shared" si="12"/>
        <v>0.11888387155715725</v>
      </c>
      <c r="AH50">
        <f t="shared" si="13"/>
        <v>1</v>
      </c>
    </row>
    <row r="51" spans="1:34" x14ac:dyDescent="0.2">
      <c r="A51" t="s">
        <v>14</v>
      </c>
      <c r="B51" t="s">
        <v>15</v>
      </c>
      <c r="C51" t="s">
        <v>11</v>
      </c>
      <c r="D51" t="s">
        <v>7</v>
      </c>
      <c r="E51" s="3">
        <v>6543</v>
      </c>
      <c r="F51" s="3">
        <v>537461</v>
      </c>
      <c r="G51" s="3">
        <v>969817</v>
      </c>
      <c r="H51" s="3">
        <v>1500000</v>
      </c>
      <c r="J51" s="6">
        <v>0.18</v>
      </c>
      <c r="K51" s="6">
        <v>0.13</v>
      </c>
      <c r="L51" t="s">
        <v>8</v>
      </c>
      <c r="M51">
        <v>1</v>
      </c>
      <c r="N51" s="3">
        <v>272487.78000000003</v>
      </c>
      <c r="O51" s="3">
        <v>196796.73</v>
      </c>
      <c r="P51" s="3">
        <v>469284.51</v>
      </c>
      <c r="Q51" s="3">
        <v>38926.826000000001</v>
      </c>
      <c r="R51" s="3">
        <v>233560.95</v>
      </c>
      <c r="S51" s="3">
        <v>196796.73</v>
      </c>
      <c r="T51" s="3">
        <f t="shared" si="3"/>
        <v>1407.2386726747065</v>
      </c>
      <c r="U51" s="3">
        <v>1082.4912866728512</v>
      </c>
      <c r="V51" s="3">
        <v>1390.6488707192384</v>
      </c>
      <c r="W51" s="3">
        <f t="shared" si="4"/>
        <v>1688.6864072096478</v>
      </c>
      <c r="X51" s="3">
        <v>1298.9895440074213</v>
      </c>
      <c r="Y51" s="3">
        <v>1877.375975470972</v>
      </c>
      <c r="Z51" s="3">
        <f t="shared" si="5"/>
        <v>65735201.942015104</v>
      </c>
      <c r="AA51" s="3">
        <f t="shared" si="9"/>
        <v>303393231.93844014</v>
      </c>
      <c r="AB51" s="3">
        <f t="shared" si="10"/>
        <v>369461452.95324749</v>
      </c>
      <c r="AC51" s="1">
        <f t="shared" si="8"/>
        <v>738589886.8337028</v>
      </c>
      <c r="AD51">
        <f>VLOOKUP(A51,[1]Ark1!$A$3:$B$220, 2, FALSE)</f>
        <v>4.2466999999999997</v>
      </c>
      <c r="AE51">
        <f>VLOOKUP(B51,[2]Data!$B$5:$BM$270, 64, FALSE)</f>
        <v>201947603715.40918</v>
      </c>
      <c r="AF51">
        <f t="shared" si="11"/>
        <v>8576108886.9822807</v>
      </c>
      <c r="AG51" s="4">
        <f t="shared" si="12"/>
        <v>8.6121794460283976</v>
      </c>
      <c r="AH51">
        <f t="shared" si="13"/>
        <v>0</v>
      </c>
    </row>
    <row r="52" spans="1:34" x14ac:dyDescent="0.2">
      <c r="A52" t="s">
        <v>143</v>
      </c>
      <c r="B52" t="s">
        <v>144</v>
      </c>
      <c r="C52" t="s">
        <v>4</v>
      </c>
      <c r="D52" t="s">
        <v>7</v>
      </c>
      <c r="E52" s="3">
        <v>105374</v>
      </c>
      <c r="F52" s="3">
        <v>3620</v>
      </c>
      <c r="G52" s="3">
        <v>0</v>
      </c>
      <c r="H52" s="3">
        <v>108994</v>
      </c>
      <c r="J52" s="6">
        <v>0.18</v>
      </c>
      <c r="K52" s="6">
        <v>0.13</v>
      </c>
      <c r="L52" t="s">
        <v>8</v>
      </c>
      <c r="M52">
        <v>1</v>
      </c>
      <c r="N52" s="3">
        <v>19618.919999999998</v>
      </c>
      <c r="O52" s="3">
        <v>14169.22</v>
      </c>
      <c r="P52" s="3">
        <v>33788.14</v>
      </c>
      <c r="Q52" s="3">
        <v>2802.7029000000002</v>
      </c>
      <c r="R52" s="3">
        <v>16816.217000000001</v>
      </c>
      <c r="S52" s="3">
        <v>14169.22</v>
      </c>
      <c r="T52" s="3">
        <f t="shared" si="3"/>
        <v>1472.0478840791898</v>
      </c>
      <c r="U52" s="3">
        <v>1132.3445262147613</v>
      </c>
      <c r="V52" s="3">
        <v>1193.2860306343234</v>
      </c>
      <c r="W52" s="3">
        <f t="shared" si="4"/>
        <v>1766.4574608950277</v>
      </c>
      <c r="X52" s="3">
        <v>1358.8134314577135</v>
      </c>
      <c r="Y52" s="3">
        <v>1610.9361413563367</v>
      </c>
      <c r="Z52" s="3">
        <f t="shared" si="5"/>
        <v>4950855.4483771315</v>
      </c>
      <c r="AA52" s="3">
        <f t="shared" si="9"/>
        <v>22850101.525907535</v>
      </c>
      <c r="AB52" s="3">
        <f t="shared" si="10"/>
        <v>22825708.592829034</v>
      </c>
      <c r="AC52" s="1">
        <f t="shared" si="8"/>
        <v>50626665.567113698</v>
      </c>
      <c r="AD52" s="19">
        <v>6.3887</v>
      </c>
      <c r="AE52">
        <f>VLOOKUP(B52,[2]Data!$B$5:$BM$270, 64, FALSE)</f>
        <v>11531967881.062355</v>
      </c>
      <c r="AF52">
        <f t="shared" si="11"/>
        <v>736742832.01743066</v>
      </c>
      <c r="AG52" s="4">
        <f t="shared" si="12"/>
        <v>6.8716875640964385</v>
      </c>
      <c r="AH52">
        <f t="shared" si="13"/>
        <v>0</v>
      </c>
    </row>
    <row r="53" spans="1:34" x14ac:dyDescent="0.2">
      <c r="A53" t="s">
        <v>9</v>
      </c>
      <c r="B53" t="s">
        <v>10</v>
      </c>
      <c r="C53" t="s">
        <v>4</v>
      </c>
      <c r="D53" t="s">
        <v>7</v>
      </c>
      <c r="E53" s="3">
        <v>1300000</v>
      </c>
      <c r="F53" s="3">
        <v>1066</v>
      </c>
      <c r="G53" s="3">
        <v>0</v>
      </c>
      <c r="H53" s="3">
        <v>1300000</v>
      </c>
      <c r="J53" s="6">
        <v>0.18</v>
      </c>
      <c r="K53" s="6">
        <v>0.13</v>
      </c>
      <c r="L53" t="s">
        <v>8</v>
      </c>
      <c r="M53">
        <v>1</v>
      </c>
      <c r="N53" s="3">
        <v>230172.84</v>
      </c>
      <c r="O53" s="3">
        <v>166235.94</v>
      </c>
      <c r="P53" s="3">
        <v>396408.78</v>
      </c>
      <c r="Q53" s="3">
        <v>32881.834000000003</v>
      </c>
      <c r="R53" s="3">
        <v>197291.01</v>
      </c>
      <c r="S53" s="3">
        <v>166235.94</v>
      </c>
      <c r="T53" s="3">
        <f t="shared" si="3"/>
        <v>3329.0970110621979</v>
      </c>
      <c r="U53" s="3">
        <v>2560.8438546632292</v>
      </c>
      <c r="V53" s="3">
        <v>2420.5034035309936</v>
      </c>
      <c r="W53" s="3">
        <f t="shared" si="4"/>
        <v>3994.9164132746373</v>
      </c>
      <c r="X53" s="3">
        <v>3073.0126255958749</v>
      </c>
      <c r="Y53" s="3">
        <v>3267.6795947668415</v>
      </c>
      <c r="Z53" s="3">
        <f t="shared" si="5"/>
        <v>131360178.34517203</v>
      </c>
      <c r="AA53" s="3">
        <f t="shared" si="9"/>
        <v>606277764.64656198</v>
      </c>
      <c r="AB53" s="3">
        <f t="shared" si="10"/>
        <v>543205789.05488503</v>
      </c>
      <c r="AC53" s="1">
        <f t="shared" si="8"/>
        <v>1280843732.0466189</v>
      </c>
      <c r="AD53">
        <f>VLOOKUP(A53,[1]Ark1!$A$3:$B$220, 2, FALSE)</f>
        <v>3.73</v>
      </c>
      <c r="AE53">
        <f>VLOOKUP(B53,[2]Data!$B$5:$BM$270, 64, FALSE)</f>
        <v>1493075887459.8118</v>
      </c>
      <c r="AF53">
        <f t="shared" si="11"/>
        <v>55691730602.250977</v>
      </c>
      <c r="AG53" s="4">
        <f t="shared" si="12"/>
        <v>2.2998813615514568</v>
      </c>
      <c r="AH53">
        <f t="shared" si="13"/>
        <v>0</v>
      </c>
    </row>
    <row r="54" spans="1:34" x14ac:dyDescent="0.2">
      <c r="A54" t="s">
        <v>153</v>
      </c>
      <c r="B54" t="s">
        <v>154</v>
      </c>
      <c r="C54" t="s">
        <v>33</v>
      </c>
      <c r="D54" t="s">
        <v>36</v>
      </c>
      <c r="E54" s="3">
        <v>120753</v>
      </c>
      <c r="F54" s="3">
        <v>478</v>
      </c>
      <c r="G54" s="3">
        <v>0</v>
      </c>
      <c r="H54" s="3">
        <v>121231</v>
      </c>
      <c r="I54">
        <v>0.99</v>
      </c>
      <c r="J54" s="6">
        <v>0.18411000999999999</v>
      </c>
      <c r="K54" s="6">
        <v>0.14548169</v>
      </c>
      <c r="L54" t="s">
        <v>32</v>
      </c>
      <c r="M54">
        <v>0</v>
      </c>
      <c r="N54" s="3">
        <v>22319.841</v>
      </c>
      <c r="O54" s="3">
        <v>17636.89</v>
      </c>
      <c r="P54" s="3">
        <v>39956.731</v>
      </c>
      <c r="Q54" s="3">
        <v>3188.5486999999998</v>
      </c>
      <c r="R54" s="3">
        <v>19131.292000000001</v>
      </c>
      <c r="S54" s="3">
        <v>17636.89</v>
      </c>
      <c r="T54" s="3">
        <f t="shared" si="3"/>
        <v>135.36878752521585</v>
      </c>
      <c r="U54" s="3">
        <v>104.12983655785834</v>
      </c>
      <c r="V54" s="3">
        <v>219.89497360753202</v>
      </c>
      <c r="W54" s="3">
        <f t="shared" si="4"/>
        <v>162.44254503025903</v>
      </c>
      <c r="X54" s="3">
        <v>124.95580386943</v>
      </c>
      <c r="Y54" s="3">
        <v>296.85821437016824</v>
      </c>
      <c r="Z54" s="3">
        <f t="shared" si="5"/>
        <v>517955.96578092384</v>
      </c>
      <c r="AA54" s="3">
        <f t="shared" si="9"/>
        <v>2390565.9709207956</v>
      </c>
      <c r="AB54" s="3">
        <f t="shared" si="10"/>
        <v>5235655.672443076</v>
      </c>
      <c r="AC54" s="1">
        <f t="shared" si="8"/>
        <v>8144177.6091447957</v>
      </c>
      <c r="AD54">
        <f>VLOOKUP(A54,[1]Ark1!$A$3:$B$220, 2, FALSE)</f>
        <v>3.3304999999999998</v>
      </c>
      <c r="AE54">
        <f>VLOOKUP(B54,[2]Data!$B$5:$BM$270, 64, FALSE)</f>
        <v>10172925171.586851</v>
      </c>
      <c r="AF54">
        <f t="shared" si="11"/>
        <v>338809272.8397001</v>
      </c>
      <c r="AG54" s="4">
        <f t="shared" si="12"/>
        <v>2.4037646729338569</v>
      </c>
      <c r="AH54">
        <f t="shared" si="13"/>
        <v>0</v>
      </c>
    </row>
    <row r="55" spans="1:34" x14ac:dyDescent="0.2">
      <c r="A55" t="s">
        <v>93</v>
      </c>
      <c r="B55" t="s">
        <v>94</v>
      </c>
      <c r="C55" t="s">
        <v>33</v>
      </c>
      <c r="D55" t="s">
        <v>20</v>
      </c>
      <c r="E55" s="3">
        <v>11802</v>
      </c>
      <c r="F55" s="3">
        <v>260</v>
      </c>
      <c r="G55" s="3">
        <v>0</v>
      </c>
      <c r="H55" s="3">
        <v>12062</v>
      </c>
      <c r="I55">
        <v>1</v>
      </c>
      <c r="J55" s="6">
        <v>0.20106762</v>
      </c>
      <c r="K55" s="6">
        <v>0.17929165</v>
      </c>
      <c r="L55" t="s">
        <v>32</v>
      </c>
      <c r="M55">
        <v>0</v>
      </c>
      <c r="N55" s="3">
        <v>2425.2775999999999</v>
      </c>
      <c r="O55" s="3">
        <v>2162.6158</v>
      </c>
      <c r="P55" s="3">
        <v>4587.8933999999999</v>
      </c>
      <c r="Q55" s="3">
        <v>346.46823000000001</v>
      </c>
      <c r="R55" s="3">
        <v>2078.8094000000001</v>
      </c>
      <c r="S55" s="3">
        <v>2162.6158</v>
      </c>
      <c r="T55" s="3">
        <f t="shared" si="3"/>
        <v>244.72882261425534</v>
      </c>
      <c r="U55" s="3">
        <v>188.25294047250409</v>
      </c>
      <c r="V55" s="3">
        <v>334.53388113983948</v>
      </c>
      <c r="W55" s="3">
        <f t="shared" si="4"/>
        <v>293.67458713710641</v>
      </c>
      <c r="X55" s="3">
        <v>225.90352856700491</v>
      </c>
      <c r="Y55" s="3">
        <v>451.62073953878331</v>
      </c>
      <c r="Z55" s="3">
        <f t="shared" si="5"/>
        <v>101748.91440137403</v>
      </c>
      <c r="AA55" s="3">
        <f t="shared" si="9"/>
        <v>469610.37867825833</v>
      </c>
      <c r="AB55" s="3">
        <f t="shared" si="10"/>
        <v>976682.14693425747</v>
      </c>
      <c r="AC55" s="1">
        <f t="shared" si="8"/>
        <v>1548041.4400138897</v>
      </c>
      <c r="AD55">
        <f>VLOOKUP(A55,[1]Ark1!$A$3:$B$220, 2, FALSE)</f>
        <v>5.4978999999999996</v>
      </c>
      <c r="AE55">
        <f>VLOOKUP(B55,[2]Data!$B$5:$BM$270, 64, FALSE)</f>
        <v>24530513058.594551</v>
      </c>
      <c r="AF55">
        <f t="shared" si="11"/>
        <v>1348663077.4484696</v>
      </c>
      <c r="AG55" s="4">
        <f t="shared" si="12"/>
        <v>0.11478340779838231</v>
      </c>
      <c r="AH55">
        <f t="shared" si="13"/>
        <v>1</v>
      </c>
    </row>
    <row r="56" spans="1:34" x14ac:dyDescent="0.2">
      <c r="A56" t="s">
        <v>103</v>
      </c>
      <c r="B56" t="s">
        <v>104</v>
      </c>
      <c r="C56" t="s">
        <v>4</v>
      </c>
      <c r="D56" t="s">
        <v>7</v>
      </c>
      <c r="E56" s="3">
        <v>26521</v>
      </c>
      <c r="F56" s="3">
        <v>191</v>
      </c>
      <c r="G56" s="3">
        <v>0</v>
      </c>
      <c r="H56" s="3">
        <v>26712</v>
      </c>
      <c r="I56">
        <v>0.01</v>
      </c>
      <c r="J56" s="6">
        <v>0.18</v>
      </c>
      <c r="K56" s="6">
        <v>0.13</v>
      </c>
      <c r="L56" t="s">
        <v>8</v>
      </c>
      <c r="M56">
        <v>1</v>
      </c>
      <c r="N56" s="3">
        <v>4808.16</v>
      </c>
      <c r="O56" s="3">
        <v>3472.56</v>
      </c>
      <c r="P56" s="3">
        <v>8280.7199999999993</v>
      </c>
      <c r="Q56" s="3">
        <v>686.88</v>
      </c>
      <c r="R56" s="3">
        <v>4121.28</v>
      </c>
      <c r="S56" s="3">
        <v>3472.56</v>
      </c>
      <c r="T56" s="3">
        <f t="shared" si="3"/>
        <v>5336.5260000000007</v>
      </c>
      <c r="U56" s="3">
        <v>4105.0200000000004</v>
      </c>
      <c r="V56" s="3">
        <v>1042.69</v>
      </c>
      <c r="W56" s="3">
        <f t="shared" si="4"/>
        <v>6403.8312000000005</v>
      </c>
      <c r="X56" s="3">
        <v>4926.0240000000003</v>
      </c>
      <c r="Y56" s="3">
        <v>1407.6315000000002</v>
      </c>
      <c r="Z56" s="3">
        <f t="shared" si="5"/>
        <v>4398663.5746560004</v>
      </c>
      <c r="AA56" s="3">
        <f t="shared" si="9"/>
        <v>20301524.190719999</v>
      </c>
      <c r="AB56" s="3">
        <f t="shared" si="10"/>
        <v>4888084.8416400002</v>
      </c>
      <c r="AC56" s="1">
        <f t="shared" si="8"/>
        <v>29588272.607016001</v>
      </c>
      <c r="AD56">
        <f>VLOOKUP(A56,[1]Ark1!$A$3:$B$220, 2, FALSE)</f>
        <v>3.5552999999999999</v>
      </c>
      <c r="AE56">
        <f>VLOOKUP(B56,[2]Data!$B$5:$BM$270, 64, FALSE)</f>
        <v>53356484763.839027</v>
      </c>
      <c r="AF56">
        <f t="shared" si="11"/>
        <v>1896983102.808769</v>
      </c>
      <c r="AG56" s="4">
        <f t="shared" si="12"/>
        <v>1.5597541466345224</v>
      </c>
      <c r="AH56">
        <f t="shared" si="13"/>
        <v>0</v>
      </c>
    </row>
    <row r="57" spans="1:34" x14ac:dyDescent="0.2">
      <c r="A57" t="s">
        <v>113</v>
      </c>
      <c r="B57" t="s">
        <v>114</v>
      </c>
      <c r="C57" t="s">
        <v>33</v>
      </c>
      <c r="D57" t="s">
        <v>36</v>
      </c>
      <c r="E57" s="3">
        <v>16023</v>
      </c>
      <c r="F57" s="3">
        <v>18578</v>
      </c>
      <c r="G57" s="3">
        <v>0</v>
      </c>
      <c r="H57" s="3">
        <v>34601</v>
      </c>
      <c r="I57">
        <v>1</v>
      </c>
      <c r="J57" s="6">
        <v>0.16601136</v>
      </c>
      <c r="K57" s="6">
        <v>0.13905012</v>
      </c>
      <c r="L57" t="s">
        <v>32</v>
      </c>
      <c r="M57">
        <v>0</v>
      </c>
      <c r="N57" s="3">
        <v>5744.1589999999997</v>
      </c>
      <c r="O57" s="3">
        <v>4811.2730000000001</v>
      </c>
      <c r="P57" s="3">
        <v>10555.432000000001</v>
      </c>
      <c r="Q57" s="3">
        <v>820.59415000000001</v>
      </c>
      <c r="R57" s="3">
        <v>4923.5649000000003</v>
      </c>
      <c r="S57" s="3">
        <v>4811.2730000000001</v>
      </c>
      <c r="T57" s="3">
        <f t="shared" si="3"/>
        <v>60.255000000000003</v>
      </c>
      <c r="U57" s="3">
        <v>46.35</v>
      </c>
      <c r="V57" s="3">
        <v>493.7710844831721</v>
      </c>
      <c r="W57" s="3">
        <f t="shared" si="4"/>
        <v>72.305999999999997</v>
      </c>
      <c r="X57" s="3">
        <v>55.62</v>
      </c>
      <c r="Y57" s="3">
        <v>666.5909640522824</v>
      </c>
      <c r="Z57" s="3">
        <f t="shared" si="5"/>
        <v>59333.880609899999</v>
      </c>
      <c r="AA57" s="3">
        <f t="shared" si="9"/>
        <v>273848.67973799998</v>
      </c>
      <c r="AB57" s="3">
        <f t="shared" si="10"/>
        <v>3207151.1073887171</v>
      </c>
      <c r="AC57" s="1">
        <f t="shared" si="8"/>
        <v>3540333.6677366169</v>
      </c>
      <c r="AD57">
        <f>VLOOKUP(A57,[1]Ark1!$A$3:$B$220, 2, FALSE)</f>
        <v>0.25409999999999999</v>
      </c>
      <c r="AE57">
        <f>VLOOKUP(B57,[2]Data!$B$5:$BM$270, 64, FALSE)</f>
        <v>6883000000</v>
      </c>
      <c r="AF57">
        <f t="shared" si="11"/>
        <v>17489703</v>
      </c>
      <c r="AG57" s="4">
        <f t="shared" si="12"/>
        <v>20.242388722876637</v>
      </c>
      <c r="AH57">
        <f t="shared" si="13"/>
        <v>0</v>
      </c>
    </row>
    <row r="58" spans="1:34" x14ac:dyDescent="0.2">
      <c r="A58" t="s">
        <v>131</v>
      </c>
      <c r="B58" t="s">
        <v>132</v>
      </c>
      <c r="C58" t="s">
        <v>33</v>
      </c>
      <c r="D58" t="s">
        <v>7</v>
      </c>
      <c r="E58" s="3">
        <v>66596</v>
      </c>
      <c r="F58" s="3">
        <v>84316</v>
      </c>
      <c r="G58" s="3">
        <v>0</v>
      </c>
      <c r="H58" s="3">
        <v>150912</v>
      </c>
      <c r="I58">
        <v>1</v>
      </c>
      <c r="J58" s="6">
        <v>6.1925639999999997E-2</v>
      </c>
      <c r="K58" s="6">
        <v>7.9464229999999997E-2</v>
      </c>
      <c r="L58" t="s">
        <v>8</v>
      </c>
      <c r="M58">
        <v>0</v>
      </c>
      <c r="N58" s="3">
        <v>9345.3223999999991</v>
      </c>
      <c r="O58" s="3">
        <v>11992.106</v>
      </c>
      <c r="P58" s="3">
        <v>21337.429</v>
      </c>
      <c r="Q58" s="3">
        <v>1335.0461</v>
      </c>
      <c r="R58" s="3">
        <v>8010.2763000000004</v>
      </c>
      <c r="S58" s="3">
        <v>11992.106</v>
      </c>
      <c r="T58" s="3">
        <f t="shared" si="3"/>
        <v>1901.5197612217582</v>
      </c>
      <c r="U58" s="3">
        <v>1462.7075086321217</v>
      </c>
      <c r="V58" s="3">
        <v>1781.0903605650055</v>
      </c>
      <c r="W58" s="3">
        <f t="shared" si="4"/>
        <v>2281.8237134661099</v>
      </c>
      <c r="X58" s="3">
        <v>1755.249010358546</v>
      </c>
      <c r="Y58" s="3">
        <v>2404.4719867627578</v>
      </c>
      <c r="Z58" s="3">
        <f t="shared" si="5"/>
        <v>3046339.8495504474</v>
      </c>
      <c r="AA58" s="3">
        <f t="shared" si="9"/>
        <v>14060029.548273517</v>
      </c>
      <c r="AB58" s="3">
        <f t="shared" si="10"/>
        <v>28834682.939289588</v>
      </c>
      <c r="AC58" s="1">
        <f t="shared" si="8"/>
        <v>45941052.337113552</v>
      </c>
      <c r="AD58">
        <f>VLOOKUP(A58,[1]Ark1!$A$3:$B$220, 2, FALSE)</f>
        <v>6.1928999999999998</v>
      </c>
      <c r="AE58">
        <f>VLOOKUP(B58,[2]Data!$B$5:$BM$270, 64, FALSE)</f>
        <v>337619569570.51062</v>
      </c>
      <c r="AF58">
        <f t="shared" si="11"/>
        <v>20908442323.932152</v>
      </c>
      <c r="AG58" s="4">
        <f t="shared" si="12"/>
        <v>0.21972489210508361</v>
      </c>
      <c r="AH58">
        <f t="shared" si="13"/>
        <v>1</v>
      </c>
    </row>
    <row r="59" spans="1:34" x14ac:dyDescent="0.2">
      <c r="A59" t="s">
        <v>51</v>
      </c>
      <c r="B59" t="s">
        <v>52</v>
      </c>
      <c r="C59" t="s">
        <v>33</v>
      </c>
      <c r="D59" t="s">
        <v>36</v>
      </c>
      <c r="E59" s="3">
        <v>308369</v>
      </c>
      <c r="F59" s="3">
        <v>2137</v>
      </c>
      <c r="G59" s="3">
        <v>0</v>
      </c>
      <c r="H59" s="3">
        <v>310506</v>
      </c>
      <c r="I59">
        <v>1</v>
      </c>
      <c r="J59" s="6">
        <v>0.24785889999999999</v>
      </c>
      <c r="K59" s="6">
        <v>0.18211947000000001</v>
      </c>
      <c r="L59" t="s">
        <v>32</v>
      </c>
      <c r="M59">
        <v>0</v>
      </c>
      <c r="N59" s="3">
        <v>76961.673999999999</v>
      </c>
      <c r="O59" s="3">
        <v>56549.188999999998</v>
      </c>
      <c r="P59" s="3">
        <v>133510.85999999999</v>
      </c>
      <c r="Q59" s="3">
        <v>10994.525</v>
      </c>
      <c r="R59" s="3">
        <v>65967.149999999994</v>
      </c>
      <c r="S59" s="3">
        <v>56549.188999999998</v>
      </c>
      <c r="T59" s="3">
        <f t="shared" si="3"/>
        <v>88.587176678063869</v>
      </c>
      <c r="U59" s="3">
        <v>68.143982060049126</v>
      </c>
      <c r="V59" s="3">
        <v>176.36899271926728</v>
      </c>
      <c r="W59" s="3">
        <f t="shared" si="4"/>
        <v>106.30461201367665</v>
      </c>
      <c r="X59" s="3">
        <v>81.772778472058945</v>
      </c>
      <c r="Y59" s="3">
        <v>238.09814017101084</v>
      </c>
      <c r="Z59" s="3">
        <f t="shared" si="5"/>
        <v>1168768.7143996682</v>
      </c>
      <c r="AA59" s="3">
        <f t="shared" si="9"/>
        <v>5394317.1433830829</v>
      </c>
      <c r="AB59" s="3">
        <f t="shared" si="10"/>
        <v>13464256.729078984</v>
      </c>
      <c r="AC59" s="1">
        <f t="shared" si="8"/>
        <v>20027342.586861737</v>
      </c>
      <c r="AD59">
        <f>VLOOKUP(A59,[1]Ark1!$A$3:$B$220, 2, FALSE)</f>
        <v>1.8656999999999999</v>
      </c>
      <c r="AE59">
        <v>11997800760.224182</v>
      </c>
      <c r="AF59">
        <f t="shared" si="11"/>
        <v>223842968.78350258</v>
      </c>
      <c r="AG59" s="4">
        <f t="shared" si="12"/>
        <v>8.9470501109337359</v>
      </c>
      <c r="AH59">
        <f t="shared" si="13"/>
        <v>0</v>
      </c>
    </row>
    <row r="60" spans="1:34" x14ac:dyDescent="0.2">
      <c r="A60" t="s">
        <v>37</v>
      </c>
      <c r="B60" t="s">
        <v>38</v>
      </c>
      <c r="C60" t="s">
        <v>33</v>
      </c>
      <c r="D60" t="s">
        <v>36</v>
      </c>
      <c r="E60" s="3">
        <v>1100000</v>
      </c>
      <c r="F60" s="3">
        <v>31830</v>
      </c>
      <c r="G60" s="3">
        <v>0</v>
      </c>
      <c r="H60" s="3">
        <v>1100000</v>
      </c>
      <c r="I60">
        <v>1</v>
      </c>
      <c r="J60" s="6">
        <v>0.22284729</v>
      </c>
      <c r="K60" s="6">
        <v>0.15387356999999999</v>
      </c>
      <c r="L60" t="s">
        <v>32</v>
      </c>
      <c r="M60">
        <v>0</v>
      </c>
      <c r="N60" s="3">
        <v>251585.23</v>
      </c>
      <c r="O60" s="3">
        <v>173716.8</v>
      </c>
      <c r="P60" s="3">
        <v>425302.02</v>
      </c>
      <c r="Q60" s="3">
        <v>35940.747000000003</v>
      </c>
      <c r="R60" s="3">
        <v>215644.48</v>
      </c>
      <c r="S60" s="3">
        <v>173716.8</v>
      </c>
      <c r="T60" s="3">
        <f t="shared" si="3"/>
        <v>220.94337335064799</v>
      </c>
      <c r="U60" s="3">
        <v>169.95644103895998</v>
      </c>
      <c r="V60" s="3">
        <v>155.9289382955827</v>
      </c>
      <c r="W60" s="3">
        <f t="shared" si="4"/>
        <v>265.13204802077757</v>
      </c>
      <c r="X60" s="3">
        <v>203.94772924675198</v>
      </c>
      <c r="Y60" s="3">
        <v>210.50406669903666</v>
      </c>
      <c r="Z60" s="3">
        <f t="shared" si="5"/>
        <v>9529043.8595066182</v>
      </c>
      <c r="AA60" s="3">
        <f t="shared" si="9"/>
        <v>43980202.020596623</v>
      </c>
      <c r="AB60" s="3">
        <f t="shared" si="10"/>
        <v>36568092.853943206</v>
      </c>
      <c r="AC60" s="1">
        <f t="shared" si="8"/>
        <v>90077338.734046459</v>
      </c>
      <c r="AD60">
        <f>VLOOKUP(A60,[1]Ark1!$A$3:$B$220, 2, FALSE)</f>
        <v>2.1486999999999998</v>
      </c>
      <c r="AE60">
        <f>VLOOKUP(B60,[2]Data!$B$5:$BM$270, 64, FALSE)</f>
        <v>27034593750</v>
      </c>
      <c r="AF60">
        <f t="shared" si="11"/>
        <v>580892315.90625</v>
      </c>
      <c r="AG60" s="4">
        <f t="shared" si="12"/>
        <v>15.506718933528466</v>
      </c>
      <c r="AH60">
        <f t="shared" si="13"/>
        <v>0</v>
      </c>
    </row>
    <row r="61" spans="1:34" x14ac:dyDescent="0.2">
      <c r="A61" t="s">
        <v>97</v>
      </c>
      <c r="B61" t="s">
        <v>98</v>
      </c>
      <c r="C61" t="s">
        <v>18</v>
      </c>
      <c r="D61" t="s">
        <v>36</v>
      </c>
      <c r="E61" s="3">
        <v>13121</v>
      </c>
      <c r="F61" s="3">
        <v>5538</v>
      </c>
      <c r="G61" s="3">
        <v>0</v>
      </c>
      <c r="H61" s="3">
        <v>18659</v>
      </c>
      <c r="I61">
        <v>1</v>
      </c>
      <c r="J61" s="6">
        <v>0.16081091</v>
      </c>
      <c r="K61" s="6">
        <v>0.15700022999999999</v>
      </c>
      <c r="L61" t="s">
        <v>32</v>
      </c>
      <c r="M61">
        <v>0</v>
      </c>
      <c r="N61" s="3">
        <v>3000.5708</v>
      </c>
      <c r="O61" s="3">
        <v>2929.4672999999998</v>
      </c>
      <c r="P61" s="3">
        <v>5930.0380999999998</v>
      </c>
      <c r="Q61" s="3">
        <v>428.65298000000001</v>
      </c>
      <c r="R61" s="3">
        <v>2571.9178999999999</v>
      </c>
      <c r="S61" s="3">
        <v>2929.4672999999998</v>
      </c>
      <c r="T61" s="3">
        <f t="shared" si="3"/>
        <v>125.70158764800001</v>
      </c>
      <c r="U61" s="3">
        <v>96.693528960000009</v>
      </c>
      <c r="V61" s="3">
        <v>81.240030719999993</v>
      </c>
      <c r="W61" s="3">
        <f t="shared" si="4"/>
        <v>150.84190517760001</v>
      </c>
      <c r="X61" s="3">
        <v>116.03223475200001</v>
      </c>
      <c r="Y61" s="3">
        <v>109.674041472</v>
      </c>
      <c r="Z61" s="3">
        <f t="shared" si="5"/>
        <v>64658.832163255676</v>
      </c>
      <c r="AA61" s="3">
        <f t="shared" si="9"/>
        <v>298425.38153567089</v>
      </c>
      <c r="AB61" s="3">
        <f t="shared" si="10"/>
        <v>321286.51815106784</v>
      </c>
      <c r="AC61" s="1">
        <f t="shared" si="8"/>
        <v>684370.73184999439</v>
      </c>
      <c r="AD61">
        <f>VLOOKUP(A61,[1]Ark1!$A$3:$B$220, 2, FALSE)</f>
        <v>5.4512</v>
      </c>
      <c r="AE61">
        <f>VLOOKUP(B61,[2]Data!$B$5:$BM$270, 64, FALSE)</f>
        <v>11159274040.270842</v>
      </c>
      <c r="AF61">
        <f t="shared" si="11"/>
        <v>608314346.48324406</v>
      </c>
      <c r="AG61" s="4">
        <f t="shared" si="12"/>
        <v>0.11250280974079332</v>
      </c>
      <c r="AH61">
        <f t="shared" si="13"/>
        <v>1</v>
      </c>
    </row>
    <row r="62" spans="1:34" x14ac:dyDescent="0.2">
      <c r="A62" t="s">
        <v>77</v>
      </c>
      <c r="B62" t="s">
        <v>78</v>
      </c>
      <c r="C62" t="s">
        <v>4</v>
      </c>
      <c r="D62" t="s">
        <v>20</v>
      </c>
      <c r="E62" s="3">
        <v>8608</v>
      </c>
      <c r="F62" s="3">
        <v>1113</v>
      </c>
      <c r="G62" s="3">
        <v>0</v>
      </c>
      <c r="H62" s="3">
        <v>9721</v>
      </c>
      <c r="I62">
        <v>1</v>
      </c>
      <c r="J62" s="6">
        <v>0.15613729000000001</v>
      </c>
      <c r="K62" s="6">
        <v>0.13903431999999999</v>
      </c>
      <c r="L62" t="s">
        <v>32</v>
      </c>
      <c r="M62">
        <v>0</v>
      </c>
      <c r="N62" s="3">
        <v>1517.8106</v>
      </c>
      <c r="O62" s="3">
        <v>1351.5526</v>
      </c>
      <c r="P62" s="3">
        <v>2869.3631999999998</v>
      </c>
      <c r="Q62" s="3">
        <v>216.83008000000001</v>
      </c>
      <c r="R62" s="3">
        <v>1300.9804999999999</v>
      </c>
      <c r="S62" s="3">
        <v>1351.5526</v>
      </c>
      <c r="T62" s="3">
        <f t="shared" si="3"/>
        <v>153.876797568</v>
      </c>
      <c r="U62" s="3">
        <v>118.36676736</v>
      </c>
      <c r="V62" s="3">
        <v>150.23228544</v>
      </c>
      <c r="W62" s="3">
        <f t="shared" si="4"/>
        <v>184.6521570816</v>
      </c>
      <c r="X62" s="3">
        <v>142.04012083199999</v>
      </c>
      <c r="Y62" s="3">
        <v>202.81358534400002</v>
      </c>
      <c r="Z62" s="3">
        <f t="shared" si="5"/>
        <v>40038.141992175893</v>
      </c>
      <c r="AA62" s="3">
        <f t="shared" si="9"/>
        <v>184791.42742007575</v>
      </c>
      <c r="AB62" s="3">
        <f t="shared" si="10"/>
        <v>274113.22858700511</v>
      </c>
      <c r="AC62" s="1">
        <f t="shared" si="8"/>
        <v>498942.79799925676</v>
      </c>
      <c r="AD62">
        <f>VLOOKUP(A62,[1]Ark1!$A$3:$B$220, 2, FALSE)</f>
        <v>5.7263000000000002</v>
      </c>
      <c r="AE62">
        <f>VLOOKUP(B62,[2]Data!$B$5:$BM$270, 64, FALSE)</f>
        <v>8133963813.3328981</v>
      </c>
      <c r="AF62">
        <f t="shared" si="11"/>
        <v>465775169.84288174</v>
      </c>
      <c r="AG62" s="4">
        <f t="shared" si="12"/>
        <v>0.10712095240447517</v>
      </c>
      <c r="AH62">
        <f t="shared" si="13"/>
        <v>1</v>
      </c>
    </row>
    <row r="63" spans="1:34" x14ac:dyDescent="0.2">
      <c r="A63" t="s">
        <v>139</v>
      </c>
      <c r="B63" t="s">
        <v>140</v>
      </c>
      <c r="C63" t="s">
        <v>191</v>
      </c>
      <c r="D63" t="s">
        <v>7</v>
      </c>
      <c r="E63" s="3">
        <v>94472</v>
      </c>
      <c r="F63" s="3">
        <v>926</v>
      </c>
      <c r="G63" s="3">
        <v>0</v>
      </c>
      <c r="H63" s="3">
        <v>95398</v>
      </c>
      <c r="I63">
        <v>1</v>
      </c>
      <c r="J63" s="6">
        <v>0.15782454000000001</v>
      </c>
      <c r="K63" s="6">
        <v>0.14457194000000001</v>
      </c>
      <c r="L63" t="s">
        <v>8</v>
      </c>
      <c r="M63">
        <v>0</v>
      </c>
      <c r="N63" s="3">
        <v>15056.146000000001</v>
      </c>
      <c r="O63" s="3">
        <v>13791.874</v>
      </c>
      <c r="P63" s="3">
        <v>28848.019</v>
      </c>
      <c r="Q63" s="3">
        <v>2150.8779</v>
      </c>
      <c r="R63" s="3">
        <v>12905.268</v>
      </c>
      <c r="S63" s="3">
        <v>13791.874</v>
      </c>
      <c r="T63" s="3">
        <f t="shared" si="3"/>
        <v>3324.8222562970286</v>
      </c>
      <c r="U63" s="3">
        <v>2557.5555817669451</v>
      </c>
      <c r="V63" s="3">
        <v>1878.6884865488328</v>
      </c>
      <c r="W63" s="3">
        <f t="shared" si="4"/>
        <v>3989.7867075564341</v>
      </c>
      <c r="X63" s="3">
        <v>3069.066698120334</v>
      </c>
      <c r="Y63" s="3">
        <v>2536.2294568409243</v>
      </c>
      <c r="Z63" s="3">
        <f t="shared" si="5"/>
        <v>8581544.0549968965</v>
      </c>
      <c r="AA63" s="3">
        <f t="shared" si="9"/>
        <v>39607128.249118008</v>
      </c>
      <c r="AB63" s="3">
        <f t="shared" si="10"/>
        <v>34979357.103838466</v>
      </c>
      <c r="AC63" s="1">
        <f t="shared" si="8"/>
        <v>83168029.407953382</v>
      </c>
      <c r="AD63">
        <f>VLOOKUP(A63,[1]Ark1!$A$3:$B$220, 2, FALSE)</f>
        <v>3.0964999999999998</v>
      </c>
      <c r="AE63">
        <f>VLOOKUP(B63,[2]Data!$B$5:$BM$270, 64, FALSE)</f>
        <v>500457261548.07605</v>
      </c>
      <c r="AF63">
        <f t="shared" si="11"/>
        <v>15496659103.836174</v>
      </c>
      <c r="AG63" s="4">
        <f t="shared" si="12"/>
        <v>0.53668360935529169</v>
      </c>
      <c r="AH63">
        <f t="shared" si="13"/>
        <v>1</v>
      </c>
    </row>
    <row r="64" spans="1:34" x14ac:dyDescent="0.2">
      <c r="A64" t="s">
        <v>83</v>
      </c>
      <c r="B64" t="s">
        <v>84</v>
      </c>
      <c r="C64" t="s">
        <v>33</v>
      </c>
      <c r="D64" t="s">
        <v>36</v>
      </c>
      <c r="E64" s="3">
        <v>9300</v>
      </c>
      <c r="F64" s="3">
        <v>576</v>
      </c>
      <c r="G64" s="3">
        <v>0</v>
      </c>
      <c r="H64" s="3">
        <v>9876</v>
      </c>
      <c r="I64">
        <v>1</v>
      </c>
      <c r="J64" s="6">
        <v>0.13516128999999999</v>
      </c>
      <c r="K64" s="6">
        <v>0.29451612999999999</v>
      </c>
      <c r="L64" t="s">
        <v>32</v>
      </c>
      <c r="M64">
        <v>0</v>
      </c>
      <c r="N64" s="3">
        <v>1334.8529000000001</v>
      </c>
      <c r="O64" s="3">
        <v>2908.6412999999998</v>
      </c>
      <c r="P64" s="3">
        <v>4243.4942000000001</v>
      </c>
      <c r="Q64" s="3">
        <v>190.69327000000001</v>
      </c>
      <c r="R64" s="3">
        <v>1144.1596</v>
      </c>
      <c r="S64" s="3">
        <v>2908.6412999999998</v>
      </c>
      <c r="T64" s="3">
        <f t="shared" si="3"/>
        <v>225.20994979924282</v>
      </c>
      <c r="U64" s="3">
        <v>173.23842292249446</v>
      </c>
      <c r="V64" s="3">
        <v>71.727988964478527</v>
      </c>
      <c r="W64" s="3">
        <f t="shared" si="4"/>
        <v>270.25193975909139</v>
      </c>
      <c r="X64" s="3">
        <v>207.88610750699334</v>
      </c>
      <c r="Y64" s="3">
        <v>96.832785102046017</v>
      </c>
      <c r="Z64" s="3">
        <f t="shared" si="5"/>
        <v>51535.226116504149</v>
      </c>
      <c r="AA64" s="3">
        <f t="shared" si="9"/>
        <v>237854.8856107585</v>
      </c>
      <c r="AB64" s="3">
        <f t="shared" si="10"/>
        <v>281651.83794183575</v>
      </c>
      <c r="AC64" s="1">
        <f t="shared" si="8"/>
        <v>571041.94966909848</v>
      </c>
      <c r="AD64">
        <f>VLOOKUP(A64,[1]Ark1!$A$3:$B$220, 2, FALSE)</f>
        <v>3.9912000000000001</v>
      </c>
      <c r="AE64">
        <f>VLOOKUP(B64,[2]Data!$B$5:$BM$270, 64, FALSE)</f>
        <v>7389329392.7703962</v>
      </c>
      <c r="AF64">
        <f t="shared" si="11"/>
        <v>294922914.7242521</v>
      </c>
      <c r="AG64" s="4">
        <f t="shared" si="12"/>
        <v>0.19362413741333492</v>
      </c>
      <c r="AH64">
        <f t="shared" si="13"/>
        <v>1</v>
      </c>
    </row>
    <row r="65" spans="1:34" x14ac:dyDescent="0.2">
      <c r="A65" t="s">
        <v>73</v>
      </c>
      <c r="B65" t="s">
        <v>74</v>
      </c>
      <c r="C65" t="s">
        <v>18</v>
      </c>
      <c r="D65" t="s">
        <v>20</v>
      </c>
      <c r="E65" s="3">
        <v>3299</v>
      </c>
      <c r="F65" s="3">
        <v>5630</v>
      </c>
      <c r="G65" s="3">
        <v>0</v>
      </c>
      <c r="H65" s="3">
        <v>8929</v>
      </c>
      <c r="I65">
        <v>1</v>
      </c>
      <c r="J65" s="6">
        <v>0.15489542000000001</v>
      </c>
      <c r="K65" s="6">
        <v>0.13701121999999999</v>
      </c>
      <c r="L65" t="s">
        <v>8</v>
      </c>
      <c r="M65">
        <v>0</v>
      </c>
      <c r="N65" s="3">
        <v>1383.0612000000001</v>
      </c>
      <c r="O65" s="3">
        <v>1223.3731</v>
      </c>
      <c r="P65" s="3">
        <v>2606.4344000000001</v>
      </c>
      <c r="Q65" s="3">
        <v>197.58018000000001</v>
      </c>
      <c r="R65" s="3">
        <v>1185.4811</v>
      </c>
      <c r="S65" s="3">
        <v>1223.3731</v>
      </c>
      <c r="T65" s="3">
        <f t="shared" si="3"/>
        <v>854.28200000000004</v>
      </c>
      <c r="U65" s="3">
        <v>657.14</v>
      </c>
      <c r="V65" s="3">
        <v>2573.7338732921698</v>
      </c>
      <c r="W65" s="3">
        <f t="shared" si="4"/>
        <v>1025.1384</v>
      </c>
      <c r="X65" s="3">
        <v>788.56799999999998</v>
      </c>
      <c r="Y65" s="3">
        <v>3474.5407289444297</v>
      </c>
      <c r="Z65" s="3">
        <f t="shared" si="5"/>
        <v>202547.02959691203</v>
      </c>
      <c r="AA65" s="3">
        <f t="shared" si="9"/>
        <v>934832.46006479999</v>
      </c>
      <c r="AB65" s="3">
        <f t="shared" si="10"/>
        <v>4250659.6626450066</v>
      </c>
      <c r="AC65" s="1">
        <f t="shared" si="8"/>
        <v>5388039.1523067188</v>
      </c>
      <c r="AD65">
        <f>VLOOKUP(A65,[1]Ark1!$A$3:$B$220, 2, FALSE)</f>
        <v>8.2239000000000004</v>
      </c>
      <c r="AE65">
        <f>VLOOKUP(B65,[2]Data!$B$5:$BM$270, 64, FALSE)</f>
        <v>42538462678.120132</v>
      </c>
      <c r="AF65">
        <f t="shared" si="11"/>
        <v>3498320632.1859217</v>
      </c>
      <c r="AG65" s="4">
        <f t="shared" si="12"/>
        <v>0.15401787654152238</v>
      </c>
      <c r="AH65">
        <f t="shared" si="13"/>
        <v>1</v>
      </c>
    </row>
    <row r="66" spans="1:34" x14ac:dyDescent="0.2">
      <c r="A66" t="s">
        <v>5</v>
      </c>
      <c r="B66" t="s">
        <v>6</v>
      </c>
      <c r="C66" t="s">
        <v>4</v>
      </c>
      <c r="D66" t="s">
        <v>7</v>
      </c>
      <c r="E66" s="3">
        <v>3600000</v>
      </c>
      <c r="F66" s="3">
        <v>272336</v>
      </c>
      <c r="G66" s="3">
        <v>0</v>
      </c>
      <c r="H66" s="3">
        <v>3800000</v>
      </c>
      <c r="I66">
        <v>0.99</v>
      </c>
      <c r="J66" s="6">
        <v>0.19265657999999999</v>
      </c>
      <c r="K66" s="6">
        <v>0.12233243000000001</v>
      </c>
      <c r="L66" t="s">
        <v>8</v>
      </c>
      <c r="M66">
        <v>0</v>
      </c>
      <c r="N66" s="3">
        <v>739915.88</v>
      </c>
      <c r="O66" s="3">
        <v>469829.32</v>
      </c>
      <c r="P66" s="3">
        <v>1209745.2</v>
      </c>
      <c r="Q66" s="3">
        <v>105702.27</v>
      </c>
      <c r="R66" s="3">
        <v>634213.61</v>
      </c>
      <c r="S66" s="3">
        <v>469829.32</v>
      </c>
      <c r="T66" s="3">
        <f t="shared" si="3"/>
        <v>1681.1410862932396</v>
      </c>
      <c r="U66" s="3">
        <v>1293.1854509947996</v>
      </c>
      <c r="V66" s="3">
        <v>1481.8508712971702</v>
      </c>
      <c r="W66" s="3">
        <f t="shared" si="4"/>
        <v>2017.3693035518875</v>
      </c>
      <c r="X66" s="3">
        <v>1551.8225411937594</v>
      </c>
      <c r="Y66" s="3">
        <v>2000.4986762511799</v>
      </c>
      <c r="Z66" s="3">
        <f t="shared" si="5"/>
        <v>213240514.81375358</v>
      </c>
      <c r="AA66" s="3">
        <f t="shared" si="9"/>
        <v>984186975.92986786</v>
      </c>
      <c r="AB66" s="3">
        <f t="shared" si="10"/>
        <v>939892932.72399199</v>
      </c>
      <c r="AC66" s="1">
        <f t="shared" si="8"/>
        <v>2137320423.4676132</v>
      </c>
      <c r="AD66" s="19">
        <v>3.36</v>
      </c>
      <c r="AE66">
        <f>VLOOKUP(B66,[2]Data!$B$5:$BM$270, 64, FALSE)</f>
        <v>720288811761.91492</v>
      </c>
      <c r="AF66">
        <f t="shared" si="11"/>
        <v>24201704075.20034</v>
      </c>
      <c r="AG66" s="4">
        <f t="shared" si="12"/>
        <v>8.8312807099304251</v>
      </c>
      <c r="AH66">
        <f t="shared" si="13"/>
        <v>0</v>
      </c>
    </row>
    <row r="67" spans="1:34" x14ac:dyDescent="0.2">
      <c r="A67" t="s">
        <v>34</v>
      </c>
      <c r="B67" t="s">
        <v>35</v>
      </c>
      <c r="C67" t="s">
        <v>33</v>
      </c>
      <c r="D67" t="s">
        <v>36</v>
      </c>
      <c r="E67" s="3">
        <v>1500000</v>
      </c>
      <c r="F67" s="3">
        <v>32166</v>
      </c>
      <c r="G67" s="3">
        <v>0</v>
      </c>
      <c r="H67" s="3">
        <v>1500000</v>
      </c>
      <c r="I67">
        <v>1</v>
      </c>
      <c r="J67" s="6">
        <v>0.2413013</v>
      </c>
      <c r="K67" s="6">
        <v>0.17855749000000001</v>
      </c>
      <c r="L67" t="s">
        <v>32</v>
      </c>
      <c r="M67">
        <v>0</v>
      </c>
      <c r="N67" s="3">
        <v>360911.7</v>
      </c>
      <c r="O67" s="3">
        <v>267066.48</v>
      </c>
      <c r="P67" s="3">
        <v>627978.18000000005</v>
      </c>
      <c r="Q67" s="3">
        <v>51558.813999999998</v>
      </c>
      <c r="R67" s="3">
        <v>309352.88</v>
      </c>
      <c r="S67" s="3">
        <v>267066.48</v>
      </c>
      <c r="T67" s="3">
        <f t="shared" ref="T67:T73" si="14">U67*1.3</f>
        <v>56.476042702837994</v>
      </c>
      <c r="U67" s="3">
        <v>43.443109771413837</v>
      </c>
      <c r="V67" s="3">
        <v>108.28626673300616</v>
      </c>
      <c r="W67" s="3">
        <f t="shared" ref="W67:W73" si="15">T67*1.2</f>
        <v>67.771251243405587</v>
      </c>
      <c r="X67" s="3">
        <v>52.131731725696604</v>
      </c>
      <c r="Y67" s="3">
        <v>146.18646008955832</v>
      </c>
      <c r="Z67" s="3">
        <f t="shared" ref="Z67:Z73" si="16">W67*Q67</f>
        <v>3494205.3374060174</v>
      </c>
      <c r="AA67" s="3">
        <f t="shared" ref="AA67:AA73" si="17">X67*R67</f>
        <v>16127101.348731615</v>
      </c>
      <c r="AB67" s="3">
        <f t="shared" ref="AB67:AB73" si="18">Y67*S67</f>
        <v>39041503.319778822</v>
      </c>
      <c r="AC67" s="1">
        <f t="shared" ref="AC67:AC73" si="19">SUM(Z67:AB67)</f>
        <v>58662810.005916454</v>
      </c>
      <c r="AD67">
        <f>VLOOKUP(A67,[1]Ark1!$A$3:$B$220, 2, FALSE)</f>
        <v>2.5863</v>
      </c>
      <c r="AE67">
        <f>VLOOKUP(B67,[2]Data!$B$5:$BM$270, 64, FALSE)</f>
        <v>37605430214.347031</v>
      </c>
      <c r="AF67">
        <f t="shared" si="11"/>
        <v>972589241.63365722</v>
      </c>
      <c r="AG67" s="4">
        <f t="shared" si="12"/>
        <v>6.0316120613652471</v>
      </c>
      <c r="AH67">
        <f t="shared" si="13"/>
        <v>0</v>
      </c>
    </row>
    <row r="68" spans="1:34" x14ac:dyDescent="0.2">
      <c r="A68" t="s">
        <v>167</v>
      </c>
      <c r="B68" t="s">
        <v>168</v>
      </c>
      <c r="C68" t="s">
        <v>33</v>
      </c>
      <c r="D68" t="s">
        <v>20</v>
      </c>
      <c r="E68" s="3">
        <v>206229</v>
      </c>
      <c r="F68" s="3">
        <v>28745</v>
      </c>
      <c r="G68" s="3">
        <v>0</v>
      </c>
      <c r="H68" s="3">
        <v>234974</v>
      </c>
      <c r="I68">
        <v>1</v>
      </c>
      <c r="J68" s="6">
        <v>0.20335160999999999</v>
      </c>
      <c r="K68" s="6">
        <v>0.14544510999999999</v>
      </c>
      <c r="L68" t="s">
        <v>32</v>
      </c>
      <c r="M68">
        <v>0</v>
      </c>
      <c r="N68" s="3">
        <v>47782.341999999997</v>
      </c>
      <c r="O68" s="3">
        <v>34175.82</v>
      </c>
      <c r="P68" s="3">
        <v>81958.161999999997</v>
      </c>
      <c r="Q68" s="3">
        <v>6826.0488999999998</v>
      </c>
      <c r="R68" s="3">
        <v>40956.292999999998</v>
      </c>
      <c r="S68" s="3">
        <v>34175.82</v>
      </c>
      <c r="T68" s="3">
        <f t="shared" si="14"/>
        <v>147.50695487282616</v>
      </c>
      <c r="U68" s="3">
        <v>113.46688836371243</v>
      </c>
      <c r="V68" s="3">
        <v>213.28585201755297</v>
      </c>
      <c r="W68" s="3">
        <f t="shared" si="15"/>
        <v>177.00834584739138</v>
      </c>
      <c r="X68" s="3">
        <v>136.16026603645491</v>
      </c>
      <c r="Y68" s="3">
        <v>287.93590022369654</v>
      </c>
      <c r="Z68" s="3">
        <f t="shared" si="16"/>
        <v>1208267.6244624055</v>
      </c>
      <c r="AA68" s="3">
        <f t="shared" si="17"/>
        <v>5576619.7507469961</v>
      </c>
      <c r="AB68" s="3">
        <f t="shared" si="18"/>
        <v>9840445.497583013</v>
      </c>
      <c r="AC68" s="1">
        <f t="shared" si="19"/>
        <v>16625332.872792415</v>
      </c>
      <c r="AD68" s="19">
        <v>3.2252000000000001</v>
      </c>
      <c r="AE68">
        <f>VLOOKUP(B68,[2]Data!$B$5:$BM$270, 64, FALSE)</f>
        <v>66068737757.265091</v>
      </c>
      <c r="AF68">
        <f t="shared" si="11"/>
        <v>2130848930.1473138</v>
      </c>
      <c r="AG68" s="4">
        <f t="shared" si="12"/>
        <v>0.78022109580724908</v>
      </c>
      <c r="AH68">
        <f t="shared" si="13"/>
        <v>1</v>
      </c>
    </row>
    <row r="69" spans="1:34" x14ac:dyDescent="0.2">
      <c r="A69" t="s">
        <v>79</v>
      </c>
      <c r="B69" t="s">
        <v>80</v>
      </c>
      <c r="C69" t="s">
        <v>4</v>
      </c>
      <c r="D69" t="s">
        <v>20</v>
      </c>
      <c r="E69" s="3">
        <v>13026</v>
      </c>
      <c r="F69" s="3">
        <v>0</v>
      </c>
      <c r="G69" s="3">
        <v>0</v>
      </c>
      <c r="H69" s="3">
        <v>13026</v>
      </c>
      <c r="J69" s="6">
        <v>0.18</v>
      </c>
      <c r="K69" s="6">
        <v>0.13</v>
      </c>
      <c r="L69" t="s">
        <v>64</v>
      </c>
      <c r="M69">
        <v>1</v>
      </c>
      <c r="N69" s="3">
        <v>2344.6799999999998</v>
      </c>
      <c r="O69" s="3">
        <v>1693.38</v>
      </c>
      <c r="P69" s="3">
        <v>4038.06</v>
      </c>
      <c r="Q69" s="3">
        <v>334.95429000000001</v>
      </c>
      <c r="R69" s="3">
        <v>2009.7257</v>
      </c>
      <c r="S69" s="3">
        <v>1693.38</v>
      </c>
      <c r="T69" s="3">
        <f t="shared" si="14"/>
        <v>530.86111921231497</v>
      </c>
      <c r="U69" s="3">
        <v>408.35470708639616</v>
      </c>
      <c r="V69" s="3">
        <v>264.69960507289807</v>
      </c>
      <c r="W69" s="3">
        <f t="shared" si="15"/>
        <v>637.0333430547779</v>
      </c>
      <c r="X69" s="3">
        <v>490.02564850367537</v>
      </c>
      <c r="Y69" s="3">
        <v>357.34446684841242</v>
      </c>
      <c r="Z69" s="3">
        <f t="shared" si="16"/>
        <v>213377.05112923958</v>
      </c>
      <c r="AA69" s="3">
        <f t="shared" si="17"/>
        <v>984817.13945700286</v>
      </c>
      <c r="AB69" s="3">
        <f t="shared" si="18"/>
        <v>605119.9732717647</v>
      </c>
      <c r="AC69" s="1">
        <f t="shared" si="19"/>
        <v>1803314.1638580072</v>
      </c>
      <c r="AD69">
        <f>VLOOKUP(A69,[1]Ark1!$A$3:$B$220, 2, FALSE)</f>
        <v>4.9227999999999996</v>
      </c>
      <c r="AE69">
        <f>VLOOKUP(B69,[2]Data!$B$5:$BM$270, 64, FALSE)</f>
        <v>60224701295.798332</v>
      </c>
      <c r="AF69">
        <f t="shared" si="11"/>
        <v>2964741595.3895597</v>
      </c>
      <c r="AG69" s="4">
        <f t="shared" si="12"/>
        <v>6.0825340281335925E-2</v>
      </c>
      <c r="AH69">
        <f t="shared" si="13"/>
        <v>1</v>
      </c>
    </row>
    <row r="70" spans="1:34" x14ac:dyDescent="0.2">
      <c r="A70" t="s">
        <v>81</v>
      </c>
      <c r="B70" t="s">
        <v>82</v>
      </c>
      <c r="C70" t="s">
        <v>11</v>
      </c>
      <c r="D70" t="s">
        <v>7</v>
      </c>
      <c r="E70" s="3">
        <v>29341</v>
      </c>
      <c r="F70" s="3">
        <v>1045</v>
      </c>
      <c r="G70" s="3">
        <v>0</v>
      </c>
      <c r="H70" s="3">
        <v>30386</v>
      </c>
      <c r="I70">
        <v>0.32</v>
      </c>
      <c r="J70" s="6">
        <v>5.9882079999999997E-2</v>
      </c>
      <c r="K70" s="6">
        <v>7.4809990000000007E-2</v>
      </c>
      <c r="L70" t="s">
        <v>8</v>
      </c>
      <c r="M70">
        <v>0</v>
      </c>
      <c r="N70" s="3">
        <v>1819.5768</v>
      </c>
      <c r="O70" s="3">
        <v>2273.1763999999998</v>
      </c>
      <c r="P70" s="3">
        <v>4092.7532000000001</v>
      </c>
      <c r="Q70" s="3">
        <v>259.93954000000002</v>
      </c>
      <c r="R70" s="3">
        <v>1559.6371999999999</v>
      </c>
      <c r="S70" s="3">
        <v>2273.1763999999998</v>
      </c>
      <c r="T70" s="3">
        <f t="shared" si="14"/>
        <v>4806.5274417410183</v>
      </c>
      <c r="U70" s="3">
        <v>3697.3288013392448</v>
      </c>
      <c r="V70" s="3">
        <v>3057.0096476386825</v>
      </c>
      <c r="W70" s="3">
        <f t="shared" si="15"/>
        <v>5767.8329300892219</v>
      </c>
      <c r="X70" s="3">
        <v>4436.7945616070938</v>
      </c>
      <c r="Y70" s="3">
        <v>4126.9630243122219</v>
      </c>
      <c r="Z70" s="3">
        <f t="shared" si="16"/>
        <v>1499287.8386442447</v>
      </c>
      <c r="AA70" s="3">
        <f t="shared" si="17"/>
        <v>6919789.8470401149</v>
      </c>
      <c r="AB70" s="3">
        <f t="shared" si="18"/>
        <v>9381314.950539168</v>
      </c>
      <c r="AC70" s="1">
        <f t="shared" si="19"/>
        <v>17800392.636223529</v>
      </c>
      <c r="AD70" s="19">
        <v>1.3647</v>
      </c>
      <c r="AE70" s="17">
        <v>482359000000</v>
      </c>
      <c r="AF70">
        <f t="shared" si="11"/>
        <v>6582753273</v>
      </c>
      <c r="AG70" s="4">
        <f t="shared" si="12"/>
        <v>0.27040953683064656</v>
      </c>
      <c r="AH70">
        <f t="shared" si="13"/>
        <v>1</v>
      </c>
    </row>
    <row r="71" spans="1:34" x14ac:dyDescent="0.2">
      <c r="A71" t="s">
        <v>125</v>
      </c>
      <c r="B71" t="s">
        <v>126</v>
      </c>
      <c r="C71" t="s">
        <v>18</v>
      </c>
      <c r="D71" t="s">
        <v>36</v>
      </c>
      <c r="E71" s="3">
        <v>77458</v>
      </c>
      <c r="F71" s="3">
        <v>13225</v>
      </c>
      <c r="G71" s="3">
        <v>0</v>
      </c>
      <c r="H71" s="3">
        <v>90683</v>
      </c>
      <c r="I71">
        <v>1</v>
      </c>
      <c r="J71" s="6">
        <v>9.5380720000000002E-2</v>
      </c>
      <c r="K71" s="6">
        <v>0.12184668</v>
      </c>
      <c r="L71" t="s">
        <v>32</v>
      </c>
      <c r="M71">
        <v>0</v>
      </c>
      <c r="N71" s="3">
        <v>8649.4100999999991</v>
      </c>
      <c r="O71" s="3">
        <v>11049.422</v>
      </c>
      <c r="P71" s="3">
        <v>19698.831999999999</v>
      </c>
      <c r="Q71" s="3">
        <v>1235.6300000000001</v>
      </c>
      <c r="R71" s="3">
        <v>7413.78</v>
      </c>
      <c r="S71" s="3">
        <v>11049.422</v>
      </c>
      <c r="T71" s="3">
        <f t="shared" si="14"/>
        <v>161.91499999999999</v>
      </c>
      <c r="U71" s="3">
        <v>124.54999999999998</v>
      </c>
      <c r="V71" s="3">
        <v>81.23</v>
      </c>
      <c r="W71" s="3">
        <f t="shared" si="15"/>
        <v>194.29799999999997</v>
      </c>
      <c r="X71" s="3">
        <v>149.45999999999998</v>
      </c>
      <c r="Y71" s="3">
        <v>109.66050000000001</v>
      </c>
      <c r="Z71" s="3">
        <f t="shared" si="16"/>
        <v>240080.43773999999</v>
      </c>
      <c r="AA71" s="3">
        <f t="shared" si="17"/>
        <v>1108063.5587999998</v>
      </c>
      <c r="AB71" s="3">
        <f t="shared" si="18"/>
        <v>1211685.1412310002</v>
      </c>
      <c r="AC71" s="1">
        <f t="shared" si="19"/>
        <v>2559829.1377710002</v>
      </c>
      <c r="AD71" s="19">
        <v>6.0846</v>
      </c>
      <c r="AE71">
        <v>21606161066.207378</v>
      </c>
      <c r="AF71">
        <f t="shared" si="11"/>
        <v>1314648476.2344542</v>
      </c>
      <c r="AG71" s="4">
        <f t="shared" si="12"/>
        <v>0.19471586390174164</v>
      </c>
      <c r="AH71">
        <f t="shared" si="13"/>
        <v>1</v>
      </c>
    </row>
    <row r="72" spans="1:34" x14ac:dyDescent="0.2">
      <c r="A72" t="s">
        <v>133</v>
      </c>
      <c r="B72" t="s">
        <v>134</v>
      </c>
      <c r="C72" t="s">
        <v>33</v>
      </c>
      <c r="D72" t="s">
        <v>20</v>
      </c>
      <c r="E72" s="3">
        <v>61159</v>
      </c>
      <c r="F72" s="3">
        <v>2774</v>
      </c>
      <c r="G72" s="3">
        <v>0</v>
      </c>
      <c r="H72" s="3">
        <v>63933</v>
      </c>
      <c r="I72">
        <v>1</v>
      </c>
      <c r="J72" s="6">
        <v>0.19030722999999999</v>
      </c>
      <c r="K72" s="6">
        <v>0.14709201</v>
      </c>
      <c r="L72" t="s">
        <v>32</v>
      </c>
      <c r="M72">
        <v>0</v>
      </c>
      <c r="N72" s="3">
        <v>12166.912</v>
      </c>
      <c r="O72" s="3">
        <v>9404.0331999999999</v>
      </c>
      <c r="P72" s="3">
        <v>21570.945</v>
      </c>
      <c r="Q72" s="3">
        <v>1738.1303</v>
      </c>
      <c r="R72" s="3">
        <v>10428.781999999999</v>
      </c>
      <c r="S72" s="3">
        <v>9404.0331999999999</v>
      </c>
      <c r="T72" s="3">
        <f t="shared" si="14"/>
        <v>205.42465816116433</v>
      </c>
      <c r="U72" s="3">
        <v>158.01896781628025</v>
      </c>
      <c r="V72" s="3">
        <v>168.52019133217502</v>
      </c>
      <c r="W72" s="3">
        <f t="shared" si="15"/>
        <v>246.5095897933972</v>
      </c>
      <c r="X72" s="3">
        <v>189.62276137953629</v>
      </c>
      <c r="Y72" s="3">
        <v>227.50225829843629</v>
      </c>
      <c r="Z72" s="3">
        <f t="shared" si="16"/>
        <v>428465.7872604744</v>
      </c>
      <c r="AA72" s="3">
        <f t="shared" si="17"/>
        <v>1977534.4406652031</v>
      </c>
      <c r="AB72" s="3">
        <f t="shared" si="18"/>
        <v>2139438.7901134705</v>
      </c>
      <c r="AC72" s="1">
        <f t="shared" si="19"/>
        <v>4545439.0180391483</v>
      </c>
      <c r="AD72">
        <f>VLOOKUP(A72,[1]Ark1!$A$3:$B$220, 2, FALSE)</f>
        <v>3.7023999999999999</v>
      </c>
      <c r="AE72">
        <f>VLOOKUP(B72,[2]Data!$B$5:$BM$270, 64, FALSE)</f>
        <v>18110638619.372303</v>
      </c>
      <c r="AF72">
        <f t="shared" si="11"/>
        <v>670528284.24364018</v>
      </c>
      <c r="AG72" s="4">
        <f t="shared" si="12"/>
        <v>0.6778892292614368</v>
      </c>
      <c r="AH72">
        <f t="shared" si="13"/>
        <v>1</v>
      </c>
    </row>
    <row r="73" spans="1:34" x14ac:dyDescent="0.2">
      <c r="A73" t="s">
        <v>101</v>
      </c>
      <c r="B73" t="s">
        <v>102</v>
      </c>
      <c r="C73" t="s">
        <v>33</v>
      </c>
      <c r="D73" t="s">
        <v>20</v>
      </c>
      <c r="E73" s="3">
        <v>10475</v>
      </c>
      <c r="F73" s="3">
        <v>11670</v>
      </c>
      <c r="G73" s="3">
        <v>0</v>
      </c>
      <c r="H73" s="3">
        <v>22145</v>
      </c>
      <c r="I73">
        <v>1</v>
      </c>
      <c r="J73" s="6">
        <v>0.20085918999999999</v>
      </c>
      <c r="K73" s="6">
        <v>0.15914080999999999</v>
      </c>
      <c r="L73" t="s">
        <v>64</v>
      </c>
      <c r="M73">
        <v>0</v>
      </c>
      <c r="N73" s="3">
        <v>4448.0267000000003</v>
      </c>
      <c r="O73" s="3">
        <v>3524.1732999999999</v>
      </c>
      <c r="P73" s="3">
        <v>7972.2</v>
      </c>
      <c r="Q73" s="3">
        <v>635.43239000000005</v>
      </c>
      <c r="R73" s="3">
        <v>3812.5943000000002</v>
      </c>
      <c r="S73" s="3">
        <v>3524.1732999999999</v>
      </c>
      <c r="T73" s="3">
        <f t="shared" si="14"/>
        <v>408.41823002828386</v>
      </c>
      <c r="U73" s="3">
        <v>314.16786925252603</v>
      </c>
      <c r="V73" s="3">
        <v>482.65612374844716</v>
      </c>
      <c r="W73" s="3">
        <f t="shared" si="15"/>
        <v>490.10187603394058</v>
      </c>
      <c r="X73" s="3">
        <v>377.00144310303125</v>
      </c>
      <c r="Y73" s="3">
        <v>651.58576706040367</v>
      </c>
      <c r="Z73" s="3">
        <f t="shared" si="16"/>
        <v>311426.60643173062</v>
      </c>
      <c r="AA73" s="3">
        <f t="shared" si="17"/>
        <v>1437353.5530663913</v>
      </c>
      <c r="AB73" s="3">
        <f t="shared" si="18"/>
        <v>2296301.162934294</v>
      </c>
      <c r="AC73" s="1">
        <f t="shared" si="19"/>
        <v>4045081.3224324156</v>
      </c>
      <c r="AD73">
        <f>VLOOKUP(A73,[1]Ark1!$A$3:$B$220, 2, FALSE)</f>
        <v>3.8908999999999998</v>
      </c>
      <c r="AE73">
        <f>VLOOKUP(B73,[2]Data!$B$5:$BM$270, 64, FALSE)</f>
        <v>21509698406.111595</v>
      </c>
      <c r="AF73">
        <f t="shared" si="11"/>
        <v>836920855.28339601</v>
      </c>
      <c r="AG73" s="4">
        <f t="shared" si="12"/>
        <v>0.48332901455331528</v>
      </c>
      <c r="AH73">
        <f t="shared" si="13"/>
        <v>1</v>
      </c>
    </row>
  </sheetData>
  <autoFilter ref="A1:AE73" xr:uid="{A1A87671-4C7D-BA40-A4E3-740B81FD6EE7}"/>
  <sortState xmlns:xlrd2="http://schemas.microsoft.com/office/spreadsheetml/2017/richdata2" ref="A2:AH73">
    <sortCondition ref="A2:A73"/>
  </sortState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11363-977A-0F4C-A6BD-14A3608E6683}">
  <dimension ref="B1:AK76"/>
  <sheetViews>
    <sheetView topLeftCell="B1" zoomScale="125" workbookViewId="0">
      <selection activeCell="G16" sqref="G16"/>
    </sheetView>
  </sheetViews>
  <sheetFormatPr baseColWidth="10" defaultRowHeight="16" x14ac:dyDescent="0.2"/>
  <cols>
    <col min="1" max="1" width="1.1640625" customWidth="1"/>
    <col min="2" max="2" width="26.6640625" customWidth="1"/>
    <col min="3" max="4" width="7.1640625" customWidth="1"/>
    <col min="5" max="8" width="11.6640625" customWidth="1"/>
    <col min="9" max="9" width="13" customWidth="1"/>
    <col min="10" max="12" width="11" customWidth="1"/>
    <col min="13" max="13" width="6.5" customWidth="1"/>
    <col min="14" max="14" width="7.83203125" customWidth="1"/>
    <col min="15" max="16" width="7.5" customWidth="1"/>
    <col min="17" max="17" width="6.5" customWidth="1"/>
    <col min="18" max="18" width="7.83203125" customWidth="1"/>
    <col min="19" max="19" width="7.5" customWidth="1"/>
    <col min="20" max="20" width="7.83203125" customWidth="1"/>
    <col min="21" max="21" width="7.6640625" customWidth="1"/>
    <col min="22" max="22" width="7.1640625" customWidth="1"/>
    <col min="23" max="23" width="8.1640625" customWidth="1"/>
    <col min="24" max="24" width="8.5" customWidth="1"/>
    <col min="25" max="25" width="8.1640625" customWidth="1"/>
    <col min="26" max="26" width="7.83203125" customWidth="1"/>
    <col min="27" max="27" width="7.33203125" customWidth="1"/>
    <col min="28" max="31" width="11.5" customWidth="1"/>
    <col min="32" max="32" width="13" customWidth="1"/>
    <col min="33" max="37" width="10.83203125" customWidth="1"/>
    <col min="38" max="38" width="2.1640625" customWidth="1"/>
  </cols>
  <sheetData>
    <row r="1" spans="2:37" ht="8" customHeight="1" thickBot="1" x14ac:dyDescent="0.25"/>
    <row r="2" spans="2:37" x14ac:dyDescent="0.2">
      <c r="B2" s="76" t="s">
        <v>0</v>
      </c>
      <c r="C2" s="78" t="s">
        <v>1</v>
      </c>
      <c r="D2" s="87" t="s">
        <v>195</v>
      </c>
      <c r="E2" s="80" t="s">
        <v>172</v>
      </c>
      <c r="F2" s="80"/>
      <c r="G2" s="80"/>
      <c r="H2" s="80"/>
      <c r="I2" s="80"/>
      <c r="J2" s="80" t="s">
        <v>173</v>
      </c>
      <c r="K2" s="80"/>
      <c r="L2" s="80"/>
      <c r="M2" s="81" t="s">
        <v>174</v>
      </c>
      <c r="N2" s="81"/>
      <c r="O2" s="81"/>
      <c r="P2" s="81"/>
      <c r="Q2" s="89" t="s">
        <v>171</v>
      </c>
      <c r="R2" s="85"/>
      <c r="S2" s="90"/>
      <c r="T2" s="82" t="s">
        <v>175</v>
      </c>
      <c r="U2" s="82"/>
      <c r="V2" s="82"/>
      <c r="W2" s="83"/>
      <c r="X2" s="84" t="s">
        <v>181</v>
      </c>
      <c r="Y2" s="85"/>
      <c r="Z2" s="85"/>
      <c r="AA2" s="86"/>
      <c r="AB2" s="75" t="s">
        <v>182</v>
      </c>
      <c r="AC2" s="75"/>
      <c r="AD2" s="75"/>
      <c r="AE2" s="75"/>
      <c r="AF2" s="75"/>
      <c r="AG2" s="75" t="s">
        <v>3</v>
      </c>
      <c r="AH2" s="75"/>
      <c r="AI2" s="75"/>
      <c r="AJ2" s="75"/>
      <c r="AK2" s="75"/>
    </row>
    <row r="3" spans="2:37" s="10" customFormat="1" ht="33" customHeight="1" x14ac:dyDescent="0.2">
      <c r="B3" s="77"/>
      <c r="C3" s="79"/>
      <c r="D3" s="88"/>
      <c r="E3" s="11" t="s">
        <v>176</v>
      </c>
      <c r="F3" s="11" t="s">
        <v>177</v>
      </c>
      <c r="G3" s="11" t="s">
        <v>178</v>
      </c>
      <c r="H3" s="11" t="s">
        <v>179</v>
      </c>
      <c r="I3" s="11" t="s">
        <v>170</v>
      </c>
      <c r="J3" s="11" t="s">
        <v>176</v>
      </c>
      <c r="K3" s="11" t="s">
        <v>177</v>
      </c>
      <c r="L3" s="11" t="s">
        <v>180</v>
      </c>
      <c r="M3" s="12" t="s">
        <v>176</v>
      </c>
      <c r="N3" s="12" t="s">
        <v>192</v>
      </c>
      <c r="O3" s="12" t="s">
        <v>193</v>
      </c>
      <c r="P3" s="12" t="s">
        <v>194</v>
      </c>
      <c r="Q3" s="20" t="s">
        <v>176</v>
      </c>
      <c r="R3" s="21" t="s">
        <v>192</v>
      </c>
      <c r="S3" s="22" t="s">
        <v>216</v>
      </c>
      <c r="T3" s="13" t="s">
        <v>176</v>
      </c>
      <c r="U3" s="13" t="s">
        <v>192</v>
      </c>
      <c r="V3" s="13" t="s">
        <v>193</v>
      </c>
      <c r="W3" s="14" t="s">
        <v>194</v>
      </c>
      <c r="X3" s="15" t="s">
        <v>176</v>
      </c>
      <c r="Y3" s="15" t="s">
        <v>192</v>
      </c>
      <c r="Z3" s="15" t="s">
        <v>193</v>
      </c>
      <c r="AA3" s="23" t="s">
        <v>194</v>
      </c>
      <c r="AB3" s="10" t="s">
        <v>176</v>
      </c>
      <c r="AC3" s="10" t="s">
        <v>177</v>
      </c>
      <c r="AD3" s="10" t="s">
        <v>178</v>
      </c>
      <c r="AE3" s="10" t="s">
        <v>179</v>
      </c>
      <c r="AF3" s="10" t="s">
        <v>170</v>
      </c>
      <c r="AG3" s="10" t="s">
        <v>176</v>
      </c>
      <c r="AH3" s="10" t="s">
        <v>177</v>
      </c>
      <c r="AI3" s="10" t="s">
        <v>178</v>
      </c>
      <c r="AJ3" s="10" t="s">
        <v>179</v>
      </c>
      <c r="AK3" s="10" t="s">
        <v>170</v>
      </c>
    </row>
    <row r="4" spans="2:37" x14ac:dyDescent="0.2">
      <c r="B4" s="24" t="s">
        <v>5</v>
      </c>
      <c r="C4" s="7" t="s">
        <v>6</v>
      </c>
      <c r="D4" t="s">
        <v>198</v>
      </c>
      <c r="E4" s="2">
        <v>105702.2686550509</v>
      </c>
      <c r="F4" s="2">
        <v>634213.61193030537</v>
      </c>
      <c r="G4" s="2">
        <v>234914.66244572101</v>
      </c>
      <c r="H4" s="2">
        <v>234914.66244572101</v>
      </c>
      <c r="I4" s="5">
        <v>1209745.2054767983</v>
      </c>
      <c r="J4" s="2">
        <v>1939.7781764921992</v>
      </c>
      <c r="K4" s="2">
        <v>1551.8225411937594</v>
      </c>
      <c r="L4" s="2">
        <v>2000.4986762511799</v>
      </c>
      <c r="M4" s="2">
        <v>39.745929719999999</v>
      </c>
      <c r="N4" s="2">
        <v>102.6</v>
      </c>
      <c r="O4" s="2">
        <v>101.15</v>
      </c>
      <c r="P4" s="8">
        <v>127.68</v>
      </c>
      <c r="Q4" s="16">
        <f>VLOOKUP($C4,'Refugee GER'!$B$2:$G$73,4, FALSE)</f>
        <v>0.34337711609630517</v>
      </c>
      <c r="R4" s="16">
        <f>VLOOKUP($C4,'Refugee GER'!$B$2:$G$73,5, FALSE)</f>
        <v>0.75128249342587405</v>
      </c>
      <c r="S4" s="16">
        <f>VLOOKUP($C4,'Refugee GER'!$B$2:$G$73,6, FALSE)</f>
        <v>0.63962739755810871</v>
      </c>
      <c r="T4" s="9">
        <v>77.558075000000002</v>
      </c>
      <c r="U4" s="2">
        <v>99.604701390000002</v>
      </c>
      <c r="V4" s="2">
        <v>97.103452160000003</v>
      </c>
      <c r="W4" s="8">
        <v>91.16483959</v>
      </c>
      <c r="X4" s="9">
        <v>100</v>
      </c>
      <c r="Y4" s="2">
        <v>99.604701390000002</v>
      </c>
      <c r="Z4" s="2">
        <v>100</v>
      </c>
      <c r="AA4" s="8">
        <v>100</v>
      </c>
      <c r="AB4" s="3">
        <f>X4/100*E4</f>
        <v>105702.2686550509</v>
      </c>
      <c r="AC4" s="3">
        <f>Y4/100*F4</f>
        <v>631706.57433791412</v>
      </c>
      <c r="AD4" s="3">
        <f>Z4/100*G4</f>
        <v>234914.66244572101</v>
      </c>
      <c r="AE4" s="3">
        <f>AA4/100*H4</f>
        <v>234914.66244572101</v>
      </c>
      <c r="AF4" s="3">
        <f>SUM(AB4:AE4)</f>
        <v>1207238.1678844071</v>
      </c>
      <c r="AG4" s="6">
        <f>AB4*J4/1000000</f>
        <v>205.03895394278317</v>
      </c>
      <c r="AH4" s="6">
        <f>AC4*K4/1000000</f>
        <v>980.2965014778664</v>
      </c>
      <c r="AI4" s="6">
        <f>AD4*L4/1000000</f>
        <v>469.94647125465764</v>
      </c>
      <c r="AJ4" s="6">
        <f>AE4*L4/1000000</f>
        <v>469.94647125465764</v>
      </c>
      <c r="AK4" s="6">
        <f>SUM(AG4:AJ4)</f>
        <v>2125.228397929965</v>
      </c>
    </row>
    <row r="5" spans="2:37" x14ac:dyDescent="0.2">
      <c r="B5" s="24" t="s">
        <v>169</v>
      </c>
      <c r="C5" s="7" t="s">
        <v>19</v>
      </c>
      <c r="D5" t="s">
        <v>197</v>
      </c>
      <c r="E5" s="2">
        <v>92440.774769612995</v>
      </c>
      <c r="F5" s="2">
        <v>554644.64861767797</v>
      </c>
      <c r="G5" s="2">
        <v>226737.25074019932</v>
      </c>
      <c r="H5" s="2">
        <v>226737.25074019932</v>
      </c>
      <c r="I5" s="5">
        <v>1100559.9248676896</v>
      </c>
      <c r="J5" s="2">
        <v>677.74783394159658</v>
      </c>
      <c r="K5" s="2">
        <v>542.19826715327724</v>
      </c>
      <c r="L5" s="2">
        <v>849.69805937544106</v>
      </c>
      <c r="M5" s="2">
        <v>72.476547240000002</v>
      </c>
      <c r="N5" s="2">
        <v>104.48</v>
      </c>
      <c r="O5" s="2">
        <v>93.84</v>
      </c>
      <c r="P5" s="8">
        <v>79.73</v>
      </c>
      <c r="Q5" s="16" t="str">
        <f>VLOOKUP($C5,'Refugee GER'!$B$2:$G$73,4, FALSE)</f>
        <v>-</v>
      </c>
      <c r="R5" s="16">
        <f>VLOOKUP($C5,'Refugee GER'!$B$2:$G$73,5, FALSE)</f>
        <v>0.88</v>
      </c>
      <c r="S5" s="16">
        <f>VLOOKUP($C5,'Refugee GER'!$B$2:$G$73,6, FALSE)</f>
        <v>0.73</v>
      </c>
      <c r="T5" s="9">
        <v>95.217847899999995</v>
      </c>
      <c r="U5" s="2">
        <v>99.604701390000002</v>
      </c>
      <c r="V5" s="2">
        <v>96.706930400000005</v>
      </c>
      <c r="W5" s="8">
        <v>83.047277980000004</v>
      </c>
      <c r="X5" s="9">
        <v>100</v>
      </c>
      <c r="Y5" s="2">
        <v>99.604701390000002</v>
      </c>
      <c r="Z5" s="2">
        <v>100</v>
      </c>
      <c r="AA5" s="8">
        <v>100</v>
      </c>
      <c r="AB5" s="3">
        <f t="shared" ref="AB5:AB68" si="0">X5/100*E5</f>
        <v>92440.774769612995</v>
      </c>
      <c r="AC5" s="3">
        <f t="shared" ref="AC5:AC68" si="1">Y5/100*F5</f>
        <v>552452.14603125292</v>
      </c>
      <c r="AD5" s="3">
        <f t="shared" ref="AD5:AD68" si="2">Z5/100*G5</f>
        <v>226737.25074019932</v>
      </c>
      <c r="AE5" s="3">
        <f t="shared" ref="AE5:AE68" si="3">AA5/100*H5</f>
        <v>226737.25074019932</v>
      </c>
      <c r="AF5" s="3">
        <f t="shared" ref="AF5:AF68" si="4">SUM(AB5:AE5)</f>
        <v>1098367.4222812646</v>
      </c>
      <c r="AG5" s="6">
        <f t="shared" ref="AG5:AG68" si="5">AB5*J5/1000000</f>
        <v>62.651534867988197</v>
      </c>
      <c r="AH5" s="6">
        <f t="shared" ref="AH5:AH68" si="6">AC5*K5/1000000</f>
        <v>299.53859626325459</v>
      </c>
      <c r="AI5" s="6">
        <f t="shared" ref="AI5:AI68" si="7">AD5*L5/1000000</f>
        <v>192.65820194207015</v>
      </c>
      <c r="AJ5" s="6">
        <f t="shared" ref="AJ5:AJ68" si="8">AE5*L5/1000000</f>
        <v>192.65820194207015</v>
      </c>
      <c r="AK5" s="6">
        <f>SUM(AG5:AJ5)</f>
        <v>747.50653501538307</v>
      </c>
    </row>
    <row r="6" spans="2:37" x14ac:dyDescent="0.2">
      <c r="B6" s="24" t="s">
        <v>34</v>
      </c>
      <c r="C6" s="7" t="s">
        <v>35</v>
      </c>
      <c r="D6" t="s">
        <v>196</v>
      </c>
      <c r="E6" s="2">
        <v>51558.813937327941</v>
      </c>
      <c r="F6" s="2">
        <v>309352.88362396765</v>
      </c>
      <c r="G6" s="2">
        <v>133533.2401837894</v>
      </c>
      <c r="H6" s="2">
        <v>133533.2401837894</v>
      </c>
      <c r="I6" s="5">
        <v>627978.17792887439</v>
      </c>
      <c r="J6" s="2">
        <v>65.164664657120753</v>
      </c>
      <c r="K6" s="2">
        <v>52.131731725696604</v>
      </c>
      <c r="L6" s="2">
        <v>146.18646008955832</v>
      </c>
      <c r="M6" s="2">
        <v>20.146460000000001</v>
      </c>
      <c r="N6" s="2">
        <v>105.53</v>
      </c>
      <c r="O6" s="2">
        <v>30.43</v>
      </c>
      <c r="P6" s="8">
        <v>9.73</v>
      </c>
      <c r="Q6" s="16">
        <f>VLOOKUP($C6,'Refugee GER'!$B$2:$G$73,4, FALSE)</f>
        <v>0.39496804155794413</v>
      </c>
      <c r="R6" s="16">
        <f>VLOOKUP($C6,'Refugee GER'!$B$2:$G$73,5, FALSE)</f>
        <v>0.86380566191410613</v>
      </c>
      <c r="S6" s="16">
        <f>VLOOKUP($C6,'Refugee GER'!$B$2:$G$73,6, FALSE)</f>
        <v>9.5342736785770751E-2</v>
      </c>
      <c r="T6" s="9">
        <v>69.120705000000001</v>
      </c>
      <c r="U6" s="2">
        <v>91.224337899999995</v>
      </c>
      <c r="V6" s="2">
        <v>85.967888939999995</v>
      </c>
      <c r="W6" s="8">
        <v>66.141795439999996</v>
      </c>
      <c r="X6" s="9">
        <v>100</v>
      </c>
      <c r="Y6" s="2">
        <v>99.604701390000002</v>
      </c>
      <c r="Z6" s="2">
        <v>100</v>
      </c>
      <c r="AA6" s="8">
        <v>100</v>
      </c>
      <c r="AB6" s="3">
        <f t="shared" si="0"/>
        <v>51558.813937327941</v>
      </c>
      <c r="AC6" s="3">
        <f t="shared" si="1"/>
        <v>308130.01597500721</v>
      </c>
      <c r="AD6" s="3">
        <f t="shared" si="2"/>
        <v>133533.2401837894</v>
      </c>
      <c r="AE6" s="3">
        <f t="shared" si="3"/>
        <v>133533.2401837894</v>
      </c>
      <c r="AF6" s="3">
        <f t="shared" si="4"/>
        <v>626755.31027991395</v>
      </c>
      <c r="AG6" s="6">
        <f t="shared" si="5"/>
        <v>3.359812820344859</v>
      </c>
      <c r="AH6" s="6">
        <f t="shared" si="6"/>
        <v>16.063351329443684</v>
      </c>
      <c r="AI6" s="6">
        <f t="shared" si="7"/>
        <v>19.520751686756935</v>
      </c>
      <c r="AJ6" s="6">
        <f t="shared" si="8"/>
        <v>19.520751686756935</v>
      </c>
      <c r="AK6" s="6">
        <f t="shared" ref="AK6:AK68" si="9">SUM(AG6:AJ6)</f>
        <v>58.46466752330241</v>
      </c>
    </row>
    <row r="7" spans="2:37" x14ac:dyDescent="0.2">
      <c r="B7" s="24" t="s">
        <v>28</v>
      </c>
      <c r="C7" s="7" t="s">
        <v>29</v>
      </c>
      <c r="D7" t="s">
        <v>197</v>
      </c>
      <c r="E7" s="2">
        <v>49256.555479685194</v>
      </c>
      <c r="F7" s="2">
        <v>295539.33287811116</v>
      </c>
      <c r="G7" s="2">
        <v>105883.27216830057</v>
      </c>
      <c r="H7" s="2">
        <v>105883.27216830057</v>
      </c>
      <c r="I7" s="5">
        <v>556562.43269439752</v>
      </c>
      <c r="J7" s="2">
        <v>320.549663171796</v>
      </c>
      <c r="K7" s="2">
        <v>256.43973053743679</v>
      </c>
      <c r="L7" s="2">
        <v>549.84445136832426</v>
      </c>
      <c r="M7" s="2">
        <v>82.556671140000006</v>
      </c>
      <c r="N7" s="2">
        <v>84.37</v>
      </c>
      <c r="O7" s="2">
        <v>50.91</v>
      </c>
      <c r="P7" s="8">
        <v>34.58</v>
      </c>
      <c r="Q7" s="16">
        <f>VLOOKUP($C7,'Refugee GER'!$B$2:$G$73,4, FALSE)</f>
        <v>0.11217083436744989</v>
      </c>
      <c r="R7" s="16">
        <f>VLOOKUP($C7,'Refugee GER'!$B$2:$G$73,5, FALSE)</f>
        <v>0.10205199239764198</v>
      </c>
      <c r="S7" s="16">
        <f>VLOOKUP($C7,'Refugee GER'!$B$2:$G$73,6, FALSE)</f>
        <v>3.2401555795446534E-2</v>
      </c>
      <c r="T7" s="9">
        <v>95.342498800000001</v>
      </c>
      <c r="U7" s="2">
        <v>100</v>
      </c>
      <c r="V7" s="2">
        <v>100</v>
      </c>
      <c r="W7" s="8">
        <v>100</v>
      </c>
      <c r="X7" s="9">
        <v>100</v>
      </c>
      <c r="Y7" s="2">
        <v>99.604701390000002</v>
      </c>
      <c r="Z7" s="2">
        <v>100</v>
      </c>
      <c r="AA7" s="8">
        <v>100</v>
      </c>
      <c r="AB7" s="3">
        <f t="shared" si="0"/>
        <v>49256.555479685194</v>
      </c>
      <c r="AC7" s="3">
        <f t="shared" si="1"/>
        <v>294371.07000324072</v>
      </c>
      <c r="AD7" s="3">
        <f t="shared" si="2"/>
        <v>105883.27216830057</v>
      </c>
      <c r="AE7" s="3">
        <f t="shared" si="3"/>
        <v>105883.27216830057</v>
      </c>
      <c r="AF7" s="3">
        <f t="shared" si="4"/>
        <v>555394.16981952707</v>
      </c>
      <c r="AG7" s="6">
        <f t="shared" si="5"/>
        <v>15.789172268015971</v>
      </c>
      <c r="AH7" s="6">
        <f t="shared" si="6"/>
        <v>75.488437869647996</v>
      </c>
      <c r="AI7" s="6">
        <f t="shared" si="7"/>
        <v>58.219329694462182</v>
      </c>
      <c r="AJ7" s="6">
        <f t="shared" si="8"/>
        <v>58.219329694462182</v>
      </c>
      <c r="AK7" s="6">
        <f t="shared" si="9"/>
        <v>207.71626952658832</v>
      </c>
    </row>
    <row r="8" spans="2:37" x14ac:dyDescent="0.2">
      <c r="B8" s="24" t="s">
        <v>12</v>
      </c>
      <c r="C8" s="7" t="s">
        <v>13</v>
      </c>
      <c r="D8" t="s">
        <v>198</v>
      </c>
      <c r="E8" s="2">
        <v>35840.611443395872</v>
      </c>
      <c r="F8" s="2">
        <v>215043.66866037523</v>
      </c>
      <c r="G8" s="2">
        <v>125472.43691454532</v>
      </c>
      <c r="H8" s="2">
        <v>125472.43691454532</v>
      </c>
      <c r="I8" s="5">
        <v>501829.15393286175</v>
      </c>
      <c r="J8" s="2">
        <v>2455.2835662278399</v>
      </c>
      <c r="K8" s="2">
        <v>1964.2268529822718</v>
      </c>
      <c r="L8" s="2">
        <v>2216.9553130101153</v>
      </c>
      <c r="M8" s="2">
        <v>85.928321839999995</v>
      </c>
      <c r="N8" s="2">
        <v>106.49</v>
      </c>
      <c r="O8" s="2">
        <v>109.88</v>
      </c>
      <c r="P8" s="8">
        <v>89.43</v>
      </c>
      <c r="Q8" s="16" t="str">
        <f>VLOOKUP($C8,'Refugee GER'!$B$2:$G$73,4, FALSE)</f>
        <v>-</v>
      </c>
      <c r="R8" s="16">
        <f>VLOOKUP($C8,'Refugee GER'!$B$2:$G$73,5, FALSE)</f>
        <v>0.53016468861574062</v>
      </c>
      <c r="S8" s="16">
        <f>VLOOKUP($C8,'Refugee GER'!$B$2:$G$73,6, FALSE)</f>
        <v>0.22220363004433227</v>
      </c>
      <c r="T8" s="9">
        <v>100</v>
      </c>
      <c r="U8" s="2">
        <v>97.29999995</v>
      </c>
      <c r="V8" s="2">
        <v>100</v>
      </c>
      <c r="W8" s="8">
        <v>85.899999620000003</v>
      </c>
      <c r="X8" s="9">
        <v>100</v>
      </c>
      <c r="Y8" s="2">
        <v>99.604701390000002</v>
      </c>
      <c r="Z8" s="2">
        <v>100</v>
      </c>
      <c r="AA8" s="8">
        <v>100</v>
      </c>
      <c r="AB8" s="3">
        <f t="shared" si="0"/>
        <v>35840.611443395872</v>
      </c>
      <c r="AC8" s="3">
        <f t="shared" si="1"/>
        <v>214193.60402726778</v>
      </c>
      <c r="AD8" s="3">
        <f t="shared" si="2"/>
        <v>125472.43691454532</v>
      </c>
      <c r="AE8" s="3">
        <f t="shared" si="3"/>
        <v>125472.43691454532</v>
      </c>
      <c r="AF8" s="3">
        <f t="shared" si="4"/>
        <v>500979.0892997543</v>
      </c>
      <c r="AG8" s="6">
        <f t="shared" si="5"/>
        <v>87.998864280527343</v>
      </c>
      <c r="AH8" s="6">
        <f t="shared" si="6"/>
        <v>420.72482876741105</v>
      </c>
      <c r="AI8" s="6">
        <f t="shared" si="7"/>
        <v>278.16678565402776</v>
      </c>
      <c r="AJ8" s="6">
        <f t="shared" si="8"/>
        <v>278.16678565402776</v>
      </c>
      <c r="AK8" s="6">
        <f t="shared" si="9"/>
        <v>1065.057264355994</v>
      </c>
    </row>
    <row r="9" spans="2:37" x14ac:dyDescent="0.2">
      <c r="B9" s="24" t="s">
        <v>14</v>
      </c>
      <c r="C9" s="7" t="s">
        <v>15</v>
      </c>
      <c r="D9" t="s">
        <v>198</v>
      </c>
      <c r="E9" s="2">
        <v>38926.825714285711</v>
      </c>
      <c r="F9" s="2">
        <v>233560.95428571425</v>
      </c>
      <c r="G9" s="2">
        <v>98398.365000000005</v>
      </c>
      <c r="H9" s="2">
        <v>98398.365000000005</v>
      </c>
      <c r="I9" s="5">
        <v>469284.50999999995</v>
      </c>
      <c r="J9" s="2">
        <v>1623.7369300092769</v>
      </c>
      <c r="K9" s="2">
        <v>1298.9895440074213</v>
      </c>
      <c r="L9" s="2">
        <v>1877.375975470972</v>
      </c>
      <c r="M9" s="2">
        <v>96.441780089999995</v>
      </c>
      <c r="N9" s="2">
        <v>107.66</v>
      </c>
      <c r="O9" s="2">
        <v>101.94</v>
      </c>
      <c r="P9" s="8">
        <v>94.84</v>
      </c>
      <c r="Q9" s="16" t="str">
        <f>VLOOKUP($C9,'Refugee GER'!$B$2:$G$73,4, FALSE)</f>
        <v>-</v>
      </c>
      <c r="R9" s="16">
        <f>VLOOKUP($C9,'Refugee GER'!$B$2:$G$73,5, FALSE)</f>
        <v>0.42018735148381381</v>
      </c>
      <c r="S9" s="16">
        <f>VLOOKUP($C9,'Refugee GER'!$B$2:$G$73,6, FALSE)</f>
        <v>0.30591970816063951</v>
      </c>
      <c r="T9" s="9">
        <v>95.217847899999995</v>
      </c>
      <c r="U9" s="2">
        <v>99.202989779999996</v>
      </c>
      <c r="V9" s="2">
        <v>97.282750469999996</v>
      </c>
      <c r="W9" s="8">
        <v>91.16483959</v>
      </c>
      <c r="X9" s="9">
        <v>100</v>
      </c>
      <c r="Y9" s="2">
        <v>99.604701390000002</v>
      </c>
      <c r="Z9" s="2">
        <v>100</v>
      </c>
      <c r="AA9" s="8">
        <v>100</v>
      </c>
      <c r="AB9" s="3">
        <f t="shared" si="0"/>
        <v>38926.825714285711</v>
      </c>
      <c r="AC9" s="3">
        <f t="shared" si="1"/>
        <v>232637.6910799201</v>
      </c>
      <c r="AD9" s="3">
        <f t="shared" si="2"/>
        <v>98398.365000000005</v>
      </c>
      <c r="AE9" s="3">
        <f t="shared" si="3"/>
        <v>98398.365000000005</v>
      </c>
      <c r="AF9" s="3">
        <f t="shared" si="4"/>
        <v>468361.2467942058</v>
      </c>
      <c r="AG9" s="6">
        <f t="shared" si="5"/>
        <v>63.206924480320453</v>
      </c>
      <c r="AH9" s="6">
        <f t="shared" si="6"/>
        <v>302.19392825484471</v>
      </c>
      <c r="AI9" s="6">
        <f t="shared" si="7"/>
        <v>184.73072647662374</v>
      </c>
      <c r="AJ9" s="6">
        <f t="shared" si="8"/>
        <v>184.73072647662374</v>
      </c>
      <c r="AK9" s="6">
        <f t="shared" si="9"/>
        <v>734.86230568841268</v>
      </c>
    </row>
    <row r="10" spans="2:37" x14ac:dyDescent="0.2">
      <c r="B10" s="24" t="s">
        <v>37</v>
      </c>
      <c r="C10" s="7" t="s">
        <v>38</v>
      </c>
      <c r="D10" t="s">
        <v>196</v>
      </c>
      <c r="E10" s="2">
        <v>35940.747027824335</v>
      </c>
      <c r="F10" s="2">
        <v>215644.48216694599</v>
      </c>
      <c r="G10" s="2">
        <v>86858.397835986325</v>
      </c>
      <c r="H10" s="2">
        <v>86858.397835986325</v>
      </c>
      <c r="I10" s="5">
        <v>425302.02486674301</v>
      </c>
      <c r="J10" s="2">
        <v>254.93466155843998</v>
      </c>
      <c r="K10" s="2">
        <v>203.94772924675198</v>
      </c>
      <c r="L10" s="2">
        <v>210.50406669903666</v>
      </c>
      <c r="M10" s="2">
        <v>47.399940489999999</v>
      </c>
      <c r="N10" s="2">
        <v>77.77</v>
      </c>
      <c r="O10" s="2">
        <v>59.22</v>
      </c>
      <c r="P10" s="8">
        <v>40.869999999999997</v>
      </c>
      <c r="Q10" s="16">
        <f>VLOOKUP($C10,'Refugee GER'!$B$2:$G$73,4, FALSE)</f>
        <v>3.2748020008336806E-2</v>
      </c>
      <c r="R10" s="16">
        <f>VLOOKUP($C10,'Refugee GER'!$B$2:$G$73,5, FALSE)</f>
        <v>0.30468947551730224</v>
      </c>
      <c r="S10" s="16">
        <f>VLOOKUP($C10,'Refugee GER'!$B$2:$G$73,6, FALSE)</f>
        <v>6.8999704927707295E-2</v>
      </c>
      <c r="T10" s="9">
        <v>63.200000799999998</v>
      </c>
      <c r="U10" s="2">
        <v>95</v>
      </c>
      <c r="V10" s="2">
        <v>90</v>
      </c>
      <c r="W10" s="8">
        <v>80</v>
      </c>
      <c r="X10" s="9">
        <v>100</v>
      </c>
      <c r="Y10" s="2">
        <v>99.604701390000002</v>
      </c>
      <c r="Z10" s="2">
        <v>100</v>
      </c>
      <c r="AA10" s="8">
        <v>100</v>
      </c>
      <c r="AB10" s="3">
        <f t="shared" si="0"/>
        <v>35940.747027824335</v>
      </c>
      <c r="AC10" s="3">
        <f t="shared" si="1"/>
        <v>214792.04252639838</v>
      </c>
      <c r="AD10" s="3">
        <f t="shared" si="2"/>
        <v>86858.397835986325</v>
      </c>
      <c r="AE10" s="3">
        <f t="shared" si="3"/>
        <v>86858.397835986325</v>
      </c>
      <c r="AF10" s="3">
        <f t="shared" si="4"/>
        <v>424449.5852261954</v>
      </c>
      <c r="AG10" s="6">
        <f t="shared" si="5"/>
        <v>9.1625421796959046</v>
      </c>
      <c r="AH10" s="6">
        <f t="shared" si="6"/>
        <v>43.806349333530733</v>
      </c>
      <c r="AI10" s="6">
        <f t="shared" si="7"/>
        <v>18.284045971437926</v>
      </c>
      <c r="AJ10" s="6">
        <f t="shared" si="8"/>
        <v>18.284045971437926</v>
      </c>
      <c r="AK10" s="6">
        <f t="shared" si="9"/>
        <v>89.53698345610249</v>
      </c>
    </row>
    <row r="11" spans="2:37" x14ac:dyDescent="0.2">
      <c r="B11" s="24" t="s">
        <v>9</v>
      </c>
      <c r="C11" s="7" t="s">
        <v>10</v>
      </c>
      <c r="D11" t="s">
        <v>198</v>
      </c>
      <c r="E11" s="2">
        <v>32881.834285714285</v>
      </c>
      <c r="F11" s="2">
        <v>197291.00571428571</v>
      </c>
      <c r="G11" s="2">
        <v>83117.97</v>
      </c>
      <c r="H11" s="2">
        <v>83117.97</v>
      </c>
      <c r="I11" s="5">
        <v>396408.78</v>
      </c>
      <c r="J11" s="2">
        <v>3841.2657819948436</v>
      </c>
      <c r="K11" s="2">
        <v>3073.0126255958749</v>
      </c>
      <c r="L11" s="2">
        <v>3267.6795947668415</v>
      </c>
      <c r="M11" s="2">
        <v>85.993156429999999</v>
      </c>
      <c r="N11" s="2">
        <v>104.13</v>
      </c>
      <c r="O11" s="2">
        <v>100.66</v>
      </c>
      <c r="P11" s="8">
        <v>107.8</v>
      </c>
      <c r="Q11" s="16" t="str">
        <f>VLOOKUP($C11,'Refugee GER'!$B$2:$G$73,4, FALSE)</f>
        <v>-</v>
      </c>
      <c r="R11" s="16" t="str">
        <f>VLOOKUP($C11,'Refugee GER'!$B$2:$G$73,5, FALSE)</f>
        <v>-</v>
      </c>
      <c r="S11" s="16" t="str">
        <f>VLOOKUP($C11,'Refugee GER'!$B$2:$G$73,6, FALSE)</f>
        <v>-</v>
      </c>
      <c r="T11" s="9">
        <v>98.300003099999998</v>
      </c>
      <c r="U11" s="2">
        <v>98.79999995</v>
      </c>
      <c r="V11" s="2">
        <v>98.899999980000004</v>
      </c>
      <c r="W11" s="8">
        <v>96.5</v>
      </c>
      <c r="X11" s="9">
        <v>100</v>
      </c>
      <c r="Y11" s="2">
        <v>99.604701390000002</v>
      </c>
      <c r="Z11" s="2">
        <v>100</v>
      </c>
      <c r="AA11" s="8">
        <v>100</v>
      </c>
      <c r="AB11" s="3">
        <f t="shared" si="0"/>
        <v>32881.834285714285</v>
      </c>
      <c r="AC11" s="3">
        <f t="shared" si="1"/>
        <v>196511.11711104214</v>
      </c>
      <c r="AD11" s="3">
        <f t="shared" si="2"/>
        <v>83117.97</v>
      </c>
      <c r="AE11" s="3">
        <f t="shared" si="3"/>
        <v>83117.97</v>
      </c>
      <c r="AF11" s="3">
        <f t="shared" si="4"/>
        <v>395628.8913967564</v>
      </c>
      <c r="AG11" s="6">
        <f t="shared" si="5"/>
        <v>126.30786489093914</v>
      </c>
      <c r="AH11" s="6">
        <f t="shared" si="6"/>
        <v>603.88114395218201</v>
      </c>
      <c r="AI11" s="6">
        <f t="shared" si="7"/>
        <v>271.60289452744252</v>
      </c>
      <c r="AJ11" s="6">
        <f t="shared" si="8"/>
        <v>271.60289452744252</v>
      </c>
      <c r="AK11" s="6">
        <f t="shared" si="9"/>
        <v>1273.3947978980061</v>
      </c>
    </row>
    <row r="12" spans="2:37" x14ac:dyDescent="0.2">
      <c r="B12" s="24" t="s">
        <v>39</v>
      </c>
      <c r="C12" s="7" t="s">
        <v>40</v>
      </c>
      <c r="D12" t="s">
        <v>196</v>
      </c>
      <c r="E12" s="2">
        <v>31800.413976124808</v>
      </c>
      <c r="F12" s="2">
        <v>190802.48385674885</v>
      </c>
      <c r="G12" s="2">
        <v>80482.069490835594</v>
      </c>
      <c r="H12" s="2">
        <v>80482.069490835594</v>
      </c>
      <c r="I12" s="5">
        <v>383567.03681454487</v>
      </c>
      <c r="J12" s="2">
        <v>98.901481816832245</v>
      </c>
      <c r="K12" s="2">
        <v>79.121185453465799</v>
      </c>
      <c r="L12" s="2">
        <v>192.8298664504955</v>
      </c>
      <c r="M12" s="2">
        <v>30.118839260000001</v>
      </c>
      <c r="N12" s="2">
        <v>85.53</v>
      </c>
      <c r="O12" s="2">
        <v>47.71</v>
      </c>
      <c r="P12" s="8">
        <v>31.588010000000001</v>
      </c>
      <c r="Q12" s="16">
        <f>VLOOKUP($C12,'Refugee GER'!$B$2:$G$73,4, FALSE)</f>
        <v>0.40753682309865746</v>
      </c>
      <c r="R12" s="16">
        <f>VLOOKUP($C12,'Refugee GER'!$B$2:$G$73,5, FALSE)</f>
        <v>0.53575945048446527</v>
      </c>
      <c r="S12" s="16">
        <f>VLOOKUP($C12,'Refugee GER'!$B$2:$G$73,6, FALSE)</f>
        <v>0.19805082920525521</v>
      </c>
      <c r="T12" s="9">
        <v>100</v>
      </c>
      <c r="U12" s="2">
        <v>99</v>
      </c>
      <c r="V12" s="2">
        <v>99</v>
      </c>
      <c r="W12" s="8">
        <v>75</v>
      </c>
      <c r="X12" s="9">
        <v>100</v>
      </c>
      <c r="Y12" s="2">
        <v>99.604701390000002</v>
      </c>
      <c r="Z12" s="2">
        <v>100</v>
      </c>
      <c r="AA12" s="8">
        <v>100</v>
      </c>
      <c r="AB12" s="3">
        <f t="shared" si="0"/>
        <v>31800.413976124808</v>
      </c>
      <c r="AC12" s="3">
        <f t="shared" si="1"/>
        <v>190048.24429021767</v>
      </c>
      <c r="AD12" s="3">
        <f t="shared" si="2"/>
        <v>80482.069490835594</v>
      </c>
      <c r="AE12" s="3">
        <f t="shared" si="3"/>
        <v>80482.069490835594</v>
      </c>
      <c r="AF12" s="3">
        <f t="shared" si="4"/>
        <v>382812.79724801367</v>
      </c>
      <c r="AG12" s="6">
        <f t="shared" si="5"/>
        <v>3.1451080646274456</v>
      </c>
      <c r="AH12" s="6">
        <f t="shared" si="6"/>
        <v>15.036842381591885</v>
      </c>
      <c r="AI12" s="6">
        <f t="shared" si="7"/>
        <v>15.519346711577326</v>
      </c>
      <c r="AJ12" s="6">
        <f t="shared" si="8"/>
        <v>15.519346711577326</v>
      </c>
      <c r="AK12" s="6">
        <f t="shared" si="9"/>
        <v>49.220643869373987</v>
      </c>
    </row>
    <row r="13" spans="2:37" x14ac:dyDescent="0.2">
      <c r="B13" s="24" t="s">
        <v>30</v>
      </c>
      <c r="C13" s="7" t="s">
        <v>31</v>
      </c>
      <c r="D13" t="s">
        <v>197</v>
      </c>
      <c r="E13" s="2">
        <v>30302.620747213608</v>
      </c>
      <c r="F13" s="2">
        <v>181815.72448328164</v>
      </c>
      <c r="G13" s="2">
        <v>66971.187625999592</v>
      </c>
      <c r="H13" s="2">
        <v>66971.187625999592</v>
      </c>
      <c r="I13" s="5">
        <v>346060.72048249445</v>
      </c>
      <c r="J13" s="2">
        <v>231.06374764358014</v>
      </c>
      <c r="K13" s="2">
        <v>184.85099811486413</v>
      </c>
      <c r="L13" s="2">
        <v>198.78257547388799</v>
      </c>
      <c r="M13" s="2">
        <v>36.380687709999997</v>
      </c>
      <c r="N13" s="2">
        <v>117.66</v>
      </c>
      <c r="O13" s="2">
        <v>85.52</v>
      </c>
      <c r="P13" s="8">
        <v>62.2</v>
      </c>
      <c r="Q13" s="16">
        <f>VLOOKUP($C13,'Refugee GER'!$B$2:$G$73,4, FALSE)</f>
        <v>0.45280469042371824</v>
      </c>
      <c r="R13" s="16">
        <f>VLOOKUP($C13,'Refugee GER'!$B$2:$G$73,5, FALSE)</f>
        <v>0.28483199340342197</v>
      </c>
      <c r="S13" s="16">
        <f>VLOOKUP($C13,'Refugee GER'!$B$2:$G$73,6, FALSE)</f>
        <v>5.9634212194492053E-3</v>
      </c>
      <c r="T13" s="9">
        <v>100</v>
      </c>
      <c r="U13" s="2">
        <v>100</v>
      </c>
      <c r="V13" s="2">
        <v>92.5</v>
      </c>
      <c r="W13" s="8">
        <v>80</v>
      </c>
      <c r="X13" s="9">
        <v>100</v>
      </c>
      <c r="Y13" s="2">
        <v>99.604701390000002</v>
      </c>
      <c r="Z13" s="2">
        <v>100</v>
      </c>
      <c r="AA13" s="8">
        <v>100</v>
      </c>
      <c r="AB13" s="3">
        <f t="shared" si="0"/>
        <v>30302.620747213608</v>
      </c>
      <c r="AC13" s="3">
        <f t="shared" si="1"/>
        <v>181097.0094516378</v>
      </c>
      <c r="AD13" s="3">
        <f t="shared" si="2"/>
        <v>66971.187625999592</v>
      </c>
      <c r="AE13" s="3">
        <f t="shared" si="3"/>
        <v>66971.187625999592</v>
      </c>
      <c r="AF13" s="3">
        <f t="shared" si="4"/>
        <v>345342.00545085059</v>
      </c>
      <c r="AG13" s="6">
        <f t="shared" si="5"/>
        <v>7.0018371132732815</v>
      </c>
      <c r="AH13" s="6">
        <f t="shared" si="6"/>
        <v>33.475962952752226</v>
      </c>
      <c r="AI13" s="6">
        <f t="shared" si="7"/>
        <v>13.312705158841178</v>
      </c>
      <c r="AJ13" s="6">
        <f t="shared" si="8"/>
        <v>13.312705158841178</v>
      </c>
      <c r="AK13" s="6">
        <f t="shared" si="9"/>
        <v>67.103210383707861</v>
      </c>
    </row>
    <row r="14" spans="2:37" x14ac:dyDescent="0.2">
      <c r="B14" s="24" t="s">
        <v>21</v>
      </c>
      <c r="C14" s="7" t="s">
        <v>22</v>
      </c>
      <c r="D14" t="s">
        <v>197</v>
      </c>
      <c r="E14" s="2">
        <v>28431.624106446114</v>
      </c>
      <c r="F14" s="2">
        <v>170589.74463867667</v>
      </c>
      <c r="G14" s="2">
        <v>70952.551317012287</v>
      </c>
      <c r="H14" s="2">
        <v>70952.551317012287</v>
      </c>
      <c r="I14" s="5">
        <v>340926.47137914738</v>
      </c>
      <c r="J14" s="2">
        <v>2185.1958919026288</v>
      </c>
      <c r="K14" s="2">
        <v>1748.1567135221028</v>
      </c>
      <c r="L14" s="2">
        <v>2027.4606336862894</v>
      </c>
      <c r="M14" s="2">
        <v>58.497810000000001</v>
      </c>
      <c r="N14" s="2">
        <v>101.68</v>
      </c>
      <c r="O14" s="2">
        <v>79.777289999999994</v>
      </c>
      <c r="P14" s="8">
        <v>56.754730000000002</v>
      </c>
      <c r="Q14" s="16">
        <f>VLOOKUP($C14,'Refugee GER'!$B$2:$G$73,4, FALSE)</f>
        <v>0.27666067496257596</v>
      </c>
      <c r="R14" s="16">
        <f>VLOOKUP($C14,'Refugee GER'!$B$2:$G$73,5, FALSE)</f>
        <v>0.47681267001030442</v>
      </c>
      <c r="S14" s="16">
        <f>VLOOKUP($C14,'Refugee GER'!$B$2:$G$73,6, FALSE)</f>
        <v>0.1183508461815444</v>
      </c>
      <c r="T14" s="9">
        <v>99</v>
      </c>
      <c r="U14" s="2">
        <v>92.671700000000001</v>
      </c>
      <c r="V14" s="2">
        <v>81.04750061</v>
      </c>
      <c r="W14" s="8">
        <v>81.04750061</v>
      </c>
      <c r="X14" s="9">
        <v>100</v>
      </c>
      <c r="Y14" s="2">
        <v>99.604701390000002</v>
      </c>
      <c r="Z14" s="2">
        <v>100</v>
      </c>
      <c r="AA14" s="8">
        <v>100</v>
      </c>
      <c r="AB14" s="3">
        <f t="shared" si="0"/>
        <v>28431.624106446114</v>
      </c>
      <c r="AC14" s="3">
        <f t="shared" si="1"/>
        <v>169915.40574931743</v>
      </c>
      <c r="AD14" s="3">
        <f t="shared" si="2"/>
        <v>70952.551317012287</v>
      </c>
      <c r="AE14" s="3">
        <f t="shared" si="3"/>
        <v>70952.551317012287</v>
      </c>
      <c r="AF14" s="3">
        <f t="shared" si="4"/>
        <v>340252.13248978811</v>
      </c>
      <c r="AG14" s="6">
        <f t="shared" si="5"/>
        <v>62.128668197525798</v>
      </c>
      <c r="AH14" s="6">
        <f t="shared" si="6"/>
        <v>297.03875729150138</v>
      </c>
      <c r="AI14" s="6">
        <f t="shared" si="7"/>
        <v>143.85350465484871</v>
      </c>
      <c r="AJ14" s="6">
        <f t="shared" si="8"/>
        <v>143.85350465484871</v>
      </c>
      <c r="AK14" s="6">
        <f t="shared" si="9"/>
        <v>646.87443479872468</v>
      </c>
    </row>
    <row r="15" spans="2:37" x14ac:dyDescent="0.2">
      <c r="B15" s="24" t="s">
        <v>23</v>
      </c>
      <c r="C15" s="7" t="s">
        <v>24</v>
      </c>
      <c r="D15" t="s">
        <v>197</v>
      </c>
      <c r="E15" s="2">
        <v>21620.117048674259</v>
      </c>
      <c r="F15" s="2">
        <v>129720.70229204555</v>
      </c>
      <c r="G15" s="2">
        <v>56297.362294539249</v>
      </c>
      <c r="H15" s="2">
        <v>56297.362294539249</v>
      </c>
      <c r="I15" s="5">
        <v>263935.5439297983</v>
      </c>
      <c r="J15" s="2">
        <v>1328.4334886240968</v>
      </c>
      <c r="K15" s="2">
        <v>1062.7467908992774</v>
      </c>
      <c r="L15" s="2">
        <v>1184.836863373255</v>
      </c>
      <c r="M15" s="2">
        <v>26.599660870000001</v>
      </c>
      <c r="N15" s="2">
        <v>101.68</v>
      </c>
      <c r="O15" s="2">
        <v>74.319999999999993</v>
      </c>
      <c r="P15" s="8">
        <v>63.49</v>
      </c>
      <c r="Q15" s="16">
        <f>VLOOKUP($C15,'Refugee GER'!$B$2:$G$73,4, FALSE)</f>
        <v>0.13814961658080294</v>
      </c>
      <c r="R15" s="16">
        <f>VLOOKUP($C15,'Refugee GER'!$B$2:$G$73,5, FALSE)</f>
        <v>0.66487346419305893</v>
      </c>
      <c r="S15" s="16">
        <f>VLOOKUP($C15,'Refugee GER'!$B$2:$G$73,6, FALSE)</f>
        <v>0.30242444779889716</v>
      </c>
      <c r="T15" s="9">
        <v>55</v>
      </c>
      <c r="U15" s="2">
        <v>98</v>
      </c>
      <c r="V15" s="2">
        <v>94</v>
      </c>
      <c r="W15" s="8">
        <v>77</v>
      </c>
      <c r="X15" s="9">
        <v>100</v>
      </c>
      <c r="Y15" s="2">
        <v>99.604701390000002</v>
      </c>
      <c r="Z15" s="2">
        <v>100</v>
      </c>
      <c r="AA15" s="8">
        <v>100</v>
      </c>
      <c r="AB15" s="3">
        <f t="shared" si="0"/>
        <v>21620.117048674259</v>
      </c>
      <c r="AC15" s="3">
        <f t="shared" si="1"/>
        <v>129207.91815900286</v>
      </c>
      <c r="AD15" s="3">
        <f t="shared" si="2"/>
        <v>56297.362294539249</v>
      </c>
      <c r="AE15" s="3">
        <f t="shared" si="3"/>
        <v>56297.362294539249</v>
      </c>
      <c r="AF15" s="3">
        <f t="shared" si="4"/>
        <v>263422.75979675562</v>
      </c>
      <c r="AG15" s="6">
        <f t="shared" si="5"/>
        <v>28.720887515431656</v>
      </c>
      <c r="AH15" s="6">
        <f t="shared" si="6"/>
        <v>137.31530038225674</v>
      </c>
      <c r="AI15" s="6">
        <f t="shared" si="7"/>
        <v>66.703190157249637</v>
      </c>
      <c r="AJ15" s="6">
        <f t="shared" si="8"/>
        <v>66.703190157249637</v>
      </c>
      <c r="AK15" s="6">
        <f t="shared" si="9"/>
        <v>299.44256821218767</v>
      </c>
    </row>
    <row r="16" spans="2:37" x14ac:dyDescent="0.2">
      <c r="B16" s="24" t="s">
        <v>41</v>
      </c>
      <c r="C16" s="7" t="s">
        <v>42</v>
      </c>
      <c r="D16" t="s">
        <v>196</v>
      </c>
      <c r="E16" s="2">
        <v>20544.674802294739</v>
      </c>
      <c r="F16" s="2">
        <v>123268.04881376844</v>
      </c>
      <c r="G16" s="2">
        <v>46153.077892550871</v>
      </c>
      <c r="H16" s="2">
        <v>46153.077892550871</v>
      </c>
      <c r="I16" s="5">
        <v>236118.87940116494</v>
      </c>
      <c r="J16" s="2">
        <v>70.007229851433124</v>
      </c>
      <c r="K16" s="2">
        <v>56.005783881146499</v>
      </c>
      <c r="L16" s="2">
        <v>55.475517666941613</v>
      </c>
      <c r="M16" s="2">
        <v>6.863510132</v>
      </c>
      <c r="N16" s="2">
        <v>122.39</v>
      </c>
      <c r="O16" s="2">
        <v>73.040000000000006</v>
      </c>
      <c r="P16" s="8">
        <v>47.77</v>
      </c>
      <c r="Q16" s="16" t="str">
        <f>VLOOKUP($C16,'Refugee GER'!$B$2:$G$73,4, FALSE)</f>
        <v>-</v>
      </c>
      <c r="R16" s="16">
        <f>VLOOKUP($C16,'Refugee GER'!$B$2:$G$73,5, FALSE)</f>
        <v>0.50990294226145805</v>
      </c>
      <c r="S16" s="16">
        <f>VLOOKUP($C16,'Refugee GER'!$B$2:$G$73,6, FALSE)</f>
        <v>0.30551613724848087</v>
      </c>
      <c r="T16" s="9">
        <v>69.120705000000001</v>
      </c>
      <c r="U16" s="2">
        <v>91.624667500000001</v>
      </c>
      <c r="V16" s="2">
        <v>83.807425690000002</v>
      </c>
      <c r="W16" s="8">
        <v>68.627748999999994</v>
      </c>
      <c r="X16" s="9">
        <v>100</v>
      </c>
      <c r="Y16" s="2">
        <v>99.604701390000002</v>
      </c>
      <c r="Z16" s="2">
        <v>100</v>
      </c>
      <c r="AA16" s="8">
        <v>100</v>
      </c>
      <c r="AB16" s="3">
        <f t="shared" si="0"/>
        <v>20544.674802294739</v>
      </c>
      <c r="AC16" s="3">
        <f t="shared" si="1"/>
        <v>122780.7719302335</v>
      </c>
      <c r="AD16" s="3">
        <f t="shared" si="2"/>
        <v>46153.077892550871</v>
      </c>
      <c r="AE16" s="3">
        <f t="shared" si="3"/>
        <v>46153.077892550871</v>
      </c>
      <c r="AF16" s="3">
        <f t="shared" si="4"/>
        <v>235631.60251763</v>
      </c>
      <c r="AG16" s="6">
        <f t="shared" si="5"/>
        <v>1.4382757711071943</v>
      </c>
      <c r="AH16" s="6">
        <f t="shared" si="6"/>
        <v>6.8764333774849957</v>
      </c>
      <c r="AI16" s="6">
        <f t="shared" si="7"/>
        <v>2.5603658880119382</v>
      </c>
      <c r="AJ16" s="6">
        <f t="shared" si="8"/>
        <v>2.5603658880119382</v>
      </c>
      <c r="AK16" s="6">
        <f t="shared" si="9"/>
        <v>13.435440924616067</v>
      </c>
    </row>
    <row r="17" spans="2:37" x14ac:dyDescent="0.2">
      <c r="B17" s="24" t="s">
        <v>43</v>
      </c>
      <c r="C17" s="7" t="s">
        <v>44</v>
      </c>
      <c r="D17" t="s">
        <v>197</v>
      </c>
      <c r="E17" s="2">
        <v>18298.878278350447</v>
      </c>
      <c r="F17" s="2">
        <v>109793.26967010269</v>
      </c>
      <c r="G17" s="2">
        <v>52637.167206173574</v>
      </c>
      <c r="H17" s="2">
        <v>52637.167206173574</v>
      </c>
      <c r="I17" s="5">
        <v>233366.48236080026</v>
      </c>
      <c r="J17" s="2">
        <v>314.01584707803096</v>
      </c>
      <c r="K17" s="2">
        <v>251.21267766242477</v>
      </c>
      <c r="L17" s="2">
        <v>614.99250000000006</v>
      </c>
      <c r="M17" s="2">
        <v>65.143852229999993</v>
      </c>
      <c r="N17" s="2">
        <v>97.19</v>
      </c>
      <c r="O17" s="2">
        <v>88.31</v>
      </c>
      <c r="P17" s="8">
        <v>56.754730000000002</v>
      </c>
      <c r="Q17" s="16">
        <f>VLOOKUP($C17,'Refugee GER'!$B$2:$G$73,4, FALSE)</f>
        <v>0.72231344250961416</v>
      </c>
      <c r="R17" s="16">
        <f>VLOOKUP($C17,'Refugee GER'!$B$2:$G$73,5, FALSE)</f>
        <v>0.71407831027850044</v>
      </c>
      <c r="S17" s="16">
        <f>VLOOKUP($C17,'Refugee GER'!$B$2:$G$73,6, FALSE)</f>
        <v>0.46562676994198415</v>
      </c>
      <c r="T17" s="9">
        <v>86.699996999999996</v>
      </c>
      <c r="U17" s="2">
        <v>100</v>
      </c>
      <c r="V17" s="2">
        <v>100</v>
      </c>
      <c r="W17" s="8">
        <v>95.300000190000006</v>
      </c>
      <c r="X17" s="9">
        <v>100</v>
      </c>
      <c r="Y17" s="2">
        <v>99.604701390000002</v>
      </c>
      <c r="Z17" s="2">
        <v>100</v>
      </c>
      <c r="AA17" s="8">
        <v>100</v>
      </c>
      <c r="AB17" s="3">
        <f t="shared" si="0"/>
        <v>18298.878278350447</v>
      </c>
      <c r="AC17" s="3">
        <f t="shared" si="1"/>
        <v>109359.25840122323</v>
      </c>
      <c r="AD17" s="3">
        <f t="shared" si="2"/>
        <v>52637.167206173574</v>
      </c>
      <c r="AE17" s="3">
        <f t="shared" si="3"/>
        <v>52637.167206173574</v>
      </c>
      <c r="AF17" s="3">
        <f t="shared" si="4"/>
        <v>232932.4710919208</v>
      </c>
      <c r="AG17" s="6">
        <f t="shared" si="5"/>
        <v>5.746137763153996</v>
      </c>
      <c r="AH17" s="6">
        <f t="shared" si="6"/>
        <v>27.472432130148306</v>
      </c>
      <c r="AI17" s="6">
        <f t="shared" si="7"/>
        <v>32.371463053042703</v>
      </c>
      <c r="AJ17" s="6">
        <f t="shared" si="8"/>
        <v>32.371463053042703</v>
      </c>
      <c r="AK17" s="6">
        <f t="shared" si="9"/>
        <v>97.961495999387708</v>
      </c>
    </row>
    <row r="18" spans="2:37" x14ac:dyDescent="0.2">
      <c r="B18" s="24" t="s">
        <v>45</v>
      </c>
      <c r="C18" s="7" t="s">
        <v>46</v>
      </c>
      <c r="D18" t="s">
        <v>196</v>
      </c>
      <c r="E18" s="2">
        <v>18408.254846303564</v>
      </c>
      <c r="F18" s="2">
        <v>110449.52907782138</v>
      </c>
      <c r="G18" s="2">
        <v>44462.439348543441</v>
      </c>
      <c r="H18" s="2">
        <v>44462.439348543441</v>
      </c>
      <c r="I18" s="5">
        <v>217782.66262121181</v>
      </c>
      <c r="J18" s="2">
        <v>76.391100709419618</v>
      </c>
      <c r="K18" s="2">
        <v>61.112880567535697</v>
      </c>
      <c r="L18" s="2">
        <v>183.18803696749939</v>
      </c>
      <c r="M18" s="2">
        <v>1.2706099749999999</v>
      </c>
      <c r="N18" s="2">
        <v>90.36</v>
      </c>
      <c r="O18" s="2">
        <v>26.4</v>
      </c>
      <c r="P18" s="8">
        <v>21.32</v>
      </c>
      <c r="Q18" s="16">
        <f>VLOOKUP($C18,'Refugee GER'!$B$2:$G$73,4, FALSE)</f>
        <v>0.1268679258693296</v>
      </c>
      <c r="R18" s="16">
        <f>VLOOKUP($C18,'Refugee GER'!$B$2:$G$73,5, FALSE)</f>
        <v>0.71194018195306707</v>
      </c>
      <c r="S18" s="16">
        <f>VLOOKUP($C18,'Refugee GER'!$B$2:$G$73,6, FALSE)</f>
        <v>0.23166938076746418</v>
      </c>
      <c r="T18" s="9">
        <v>75.476369099999999</v>
      </c>
      <c r="U18" s="2">
        <v>91.224337899999995</v>
      </c>
      <c r="V18" s="2">
        <v>85.967888939999995</v>
      </c>
      <c r="W18" s="8">
        <v>68.627748999999994</v>
      </c>
      <c r="X18" s="9">
        <v>100</v>
      </c>
      <c r="Y18" s="2">
        <v>99.604701390000002</v>
      </c>
      <c r="Z18" s="2">
        <v>100</v>
      </c>
      <c r="AA18" s="8">
        <v>100</v>
      </c>
      <c r="AB18" s="3">
        <f t="shared" si="0"/>
        <v>18408.254846303564</v>
      </c>
      <c r="AC18" s="3">
        <f t="shared" si="1"/>
        <v>110012.92362462521</v>
      </c>
      <c r="AD18" s="3">
        <f t="shared" si="2"/>
        <v>44462.439348543441</v>
      </c>
      <c r="AE18" s="3">
        <f t="shared" si="3"/>
        <v>44462.439348543441</v>
      </c>
      <c r="AF18" s="3">
        <f t="shared" si="4"/>
        <v>217346.05716801566</v>
      </c>
      <c r="AG18" s="6">
        <f t="shared" si="5"/>
        <v>1.4062268498486374</v>
      </c>
      <c r="AH18" s="6">
        <f t="shared" si="6"/>
        <v>6.7232066623571471</v>
      </c>
      <c r="AI18" s="6">
        <f t="shared" si="7"/>
        <v>8.1449869830461754</v>
      </c>
      <c r="AJ18" s="6">
        <f t="shared" si="8"/>
        <v>8.1449869830461754</v>
      </c>
      <c r="AK18" s="6">
        <f t="shared" si="9"/>
        <v>24.419407478298133</v>
      </c>
    </row>
    <row r="19" spans="2:37" x14ac:dyDescent="0.2">
      <c r="B19" s="24" t="s">
        <v>47</v>
      </c>
      <c r="C19" s="7" t="s">
        <v>48</v>
      </c>
      <c r="D19" t="s">
        <v>197</v>
      </c>
      <c r="E19" s="2">
        <v>17569.992065981762</v>
      </c>
      <c r="F19" s="2">
        <v>105419.95239589056</v>
      </c>
      <c r="G19" s="2">
        <v>36392.579027094391</v>
      </c>
      <c r="H19" s="2">
        <v>36392.579027094391</v>
      </c>
      <c r="I19" s="5">
        <v>195775.1025160611</v>
      </c>
      <c r="J19" s="2">
        <v>152.5388978762314</v>
      </c>
      <c r="K19" s="2">
        <v>122.03111830098511</v>
      </c>
      <c r="L19" s="2">
        <v>437.83517689719878</v>
      </c>
      <c r="M19" s="2">
        <v>35.617870330000002</v>
      </c>
      <c r="N19" s="2">
        <v>110.72</v>
      </c>
      <c r="O19" s="2">
        <v>49.36</v>
      </c>
      <c r="P19" s="8">
        <v>38.880000000000003</v>
      </c>
      <c r="Q19" s="16">
        <f>VLOOKUP($C19,'Refugee GER'!$B$2:$G$73,4, FALSE)</f>
        <v>5.6213756555034543E-2</v>
      </c>
      <c r="R19" s="16">
        <f>VLOOKUP($C19,'Refugee GER'!$B$2:$G$73,5, FALSE)</f>
        <v>0.46779187250686671</v>
      </c>
      <c r="S19" s="16">
        <f>VLOOKUP($C19,'Refugee GER'!$B$2:$G$73,6, FALSE)</f>
        <v>4.9578693064639683E-2</v>
      </c>
      <c r="T19" s="9">
        <v>69.270942700000006</v>
      </c>
      <c r="U19" s="2">
        <v>95.044180870000005</v>
      </c>
      <c r="V19" s="2">
        <v>92.414570810000001</v>
      </c>
      <c r="W19" s="8">
        <v>77.607990259999994</v>
      </c>
      <c r="X19" s="9">
        <v>100</v>
      </c>
      <c r="Y19" s="2">
        <v>99.604701390000002</v>
      </c>
      <c r="Z19" s="2">
        <v>100</v>
      </c>
      <c r="AA19" s="8">
        <v>100</v>
      </c>
      <c r="AB19" s="3">
        <f t="shared" si="0"/>
        <v>17569.992065981762</v>
      </c>
      <c r="AC19" s="3">
        <f t="shared" si="1"/>
        <v>105003.22878940694</v>
      </c>
      <c r="AD19" s="3">
        <f t="shared" si="2"/>
        <v>36392.579027094391</v>
      </c>
      <c r="AE19" s="3">
        <f t="shared" si="3"/>
        <v>36392.579027094391</v>
      </c>
      <c r="AF19" s="3">
        <f t="shared" si="4"/>
        <v>195358.37890957747</v>
      </c>
      <c r="AG19" s="6">
        <f t="shared" si="5"/>
        <v>2.6801072254389879</v>
      </c>
      <c r="AH19" s="6">
        <f t="shared" si="6"/>
        <v>12.813661434385525</v>
      </c>
      <c r="AI19" s="6">
        <f t="shared" si="7"/>
        <v>15.933951276073159</v>
      </c>
      <c r="AJ19" s="6">
        <f t="shared" si="8"/>
        <v>15.933951276073159</v>
      </c>
      <c r="AK19" s="6">
        <f t="shared" si="9"/>
        <v>47.36167121197083</v>
      </c>
    </row>
    <row r="20" spans="2:37" x14ac:dyDescent="0.2">
      <c r="B20" s="24" t="s">
        <v>16</v>
      </c>
      <c r="C20" s="7" t="s">
        <v>17</v>
      </c>
      <c r="D20" t="s">
        <v>198</v>
      </c>
      <c r="E20" s="2">
        <v>13842.66857142857</v>
      </c>
      <c r="F20" s="2">
        <v>83056.011428571423</v>
      </c>
      <c r="G20" s="2">
        <v>34991.19</v>
      </c>
      <c r="H20" s="2">
        <v>34991.19</v>
      </c>
      <c r="I20" s="5">
        <v>166881.06</v>
      </c>
      <c r="J20" s="2">
        <v>2964.6321109032679</v>
      </c>
      <c r="K20" s="2">
        <v>2371.705688722614</v>
      </c>
      <c r="L20" s="2">
        <v>2745.9310050564045</v>
      </c>
      <c r="M20" s="2">
        <v>85.941970830000002</v>
      </c>
      <c r="N20" s="2">
        <v>103.47</v>
      </c>
      <c r="O20" s="2">
        <v>110.96</v>
      </c>
      <c r="P20" s="8">
        <v>101.13</v>
      </c>
      <c r="Q20" s="16" t="str">
        <f>VLOOKUP($C20,'Refugee GER'!$B$2:$G$73,4, FALSE)</f>
        <v>-</v>
      </c>
      <c r="R20" s="16">
        <f>VLOOKUP($C20,'Refugee GER'!$B$2:$G$73,5, FALSE)</f>
        <v>0.90436153628747706</v>
      </c>
      <c r="S20" s="16">
        <f>VLOOKUP($C20,'Refugee GER'!$B$2:$G$73,6, FALSE)</f>
        <v>0.55994468312782075</v>
      </c>
      <c r="T20" s="9">
        <v>100</v>
      </c>
      <c r="U20" s="2">
        <v>100</v>
      </c>
      <c r="V20" s="2">
        <v>100</v>
      </c>
      <c r="W20" s="8">
        <v>94.3893652</v>
      </c>
      <c r="X20" s="9">
        <v>100</v>
      </c>
      <c r="Y20" s="2">
        <v>99.604701390000002</v>
      </c>
      <c r="Z20" s="2">
        <v>100</v>
      </c>
      <c r="AA20" s="8">
        <v>100</v>
      </c>
      <c r="AB20" s="3">
        <f t="shared" si="0"/>
        <v>13842.66857142857</v>
      </c>
      <c r="AC20" s="3">
        <f t="shared" si="1"/>
        <v>82727.69216987284</v>
      </c>
      <c r="AD20" s="3">
        <f t="shared" si="2"/>
        <v>34991.19</v>
      </c>
      <c r="AE20" s="3">
        <f t="shared" si="3"/>
        <v>34991.19</v>
      </c>
      <c r="AF20" s="3">
        <f t="shared" si="4"/>
        <v>166552.74074130142</v>
      </c>
      <c r="AG20" s="6">
        <f t="shared" si="5"/>
        <v>41.038419747448607</v>
      </c>
      <c r="AH20" s="6">
        <f t="shared" si="6"/>
        <v>196.20573813418068</v>
      </c>
      <c r="AI20" s="6">
        <f t="shared" si="7"/>
        <v>96.083393524819613</v>
      </c>
      <c r="AJ20" s="6">
        <f t="shared" si="8"/>
        <v>96.083393524819613</v>
      </c>
      <c r="AK20" s="6">
        <f t="shared" si="9"/>
        <v>429.41094493126849</v>
      </c>
    </row>
    <row r="21" spans="2:37" x14ac:dyDescent="0.2">
      <c r="B21" s="24" t="s">
        <v>49</v>
      </c>
      <c r="C21" s="7" t="s">
        <v>50</v>
      </c>
      <c r="D21" t="s">
        <v>196</v>
      </c>
      <c r="E21" s="2">
        <v>12955.35288663676</v>
      </c>
      <c r="F21" s="2">
        <v>77732.117319820551</v>
      </c>
      <c r="G21" s="2">
        <v>25826.463786735185</v>
      </c>
      <c r="H21" s="2">
        <v>25826.463786735185</v>
      </c>
      <c r="I21" s="5">
        <v>142340.39777992768</v>
      </c>
      <c r="J21" s="2">
        <v>120.71093727179795</v>
      </c>
      <c r="K21" s="2">
        <v>96.568749817438345</v>
      </c>
      <c r="L21" s="2">
        <v>125.14625589508378</v>
      </c>
      <c r="M21" s="2">
        <v>7.0258398059999996</v>
      </c>
      <c r="N21" s="2">
        <v>64.760000000000005</v>
      </c>
      <c r="O21" s="2">
        <v>31.9</v>
      </c>
      <c r="P21" s="8">
        <v>11.14</v>
      </c>
      <c r="Q21" s="16">
        <f>VLOOKUP($C21,'Refugee GER'!$B$2:$G$73,4, FALSE)</f>
        <v>0.2638610865415949</v>
      </c>
      <c r="R21" s="16">
        <f>VLOOKUP($C21,'Refugee GER'!$B$2:$G$73,5, FALSE)</f>
        <v>0.35635299038059387</v>
      </c>
      <c r="S21" s="16">
        <f>VLOOKUP($C21,'Refugee GER'!$B$2:$G$73,6, FALSE)</f>
        <v>1.4742294911057536E-2</v>
      </c>
      <c r="T21" s="9">
        <v>69.120705000000001</v>
      </c>
      <c r="U21" s="2">
        <v>79.299999200000002</v>
      </c>
      <c r="V21" s="2">
        <v>58.900001529999997</v>
      </c>
      <c r="W21" s="8">
        <v>39.099998470000003</v>
      </c>
      <c r="X21" s="9">
        <v>100</v>
      </c>
      <c r="Y21" s="2">
        <v>99.604701390000002</v>
      </c>
      <c r="Z21" s="2">
        <v>100</v>
      </c>
      <c r="AA21" s="8">
        <v>100</v>
      </c>
      <c r="AB21" s="3">
        <f t="shared" si="0"/>
        <v>12955.35288663676</v>
      </c>
      <c r="AC21" s="3">
        <f t="shared" si="1"/>
        <v>77424.843340531734</v>
      </c>
      <c r="AD21" s="3">
        <f t="shared" si="2"/>
        <v>25826.463786735185</v>
      </c>
      <c r="AE21" s="3">
        <f t="shared" si="3"/>
        <v>25826.463786735185</v>
      </c>
      <c r="AF21" s="3">
        <f t="shared" si="4"/>
        <v>142033.12380063886</v>
      </c>
      <c r="AG21" s="6">
        <f t="shared" si="5"/>
        <v>1.5638527896328163</v>
      </c>
      <c r="AH21" s="6">
        <f t="shared" si="6"/>
        <v>7.4768203262061661</v>
      </c>
      <c r="AI21" s="6">
        <f t="shared" si="7"/>
        <v>3.2320852459198757</v>
      </c>
      <c r="AJ21" s="6">
        <f t="shared" si="8"/>
        <v>3.2320852459198757</v>
      </c>
      <c r="AK21" s="6">
        <f t="shared" si="9"/>
        <v>15.504843607678735</v>
      </c>
    </row>
    <row r="22" spans="2:37" x14ac:dyDescent="0.2">
      <c r="B22" s="24" t="s">
        <v>51</v>
      </c>
      <c r="C22" s="7" t="s">
        <v>52</v>
      </c>
      <c r="D22" t="s">
        <v>196</v>
      </c>
      <c r="E22" s="2">
        <v>10994.524923062954</v>
      </c>
      <c r="F22" s="2">
        <v>65967.149538377722</v>
      </c>
      <c r="G22" s="2">
        <v>28274.594657699057</v>
      </c>
      <c r="H22" s="2">
        <v>28274.594657699057</v>
      </c>
      <c r="I22" s="5">
        <v>133510.86377683879</v>
      </c>
      <c r="J22" s="2">
        <v>102.21597309007369</v>
      </c>
      <c r="K22" s="2">
        <v>81.772778472058945</v>
      </c>
      <c r="L22" s="2">
        <v>238.09814017101084</v>
      </c>
      <c r="M22" s="2">
        <v>11.590499879999999</v>
      </c>
      <c r="N22" s="2">
        <v>81.86</v>
      </c>
      <c r="O22" s="2">
        <v>34.549999999999997</v>
      </c>
      <c r="P22" s="8">
        <v>8.91</v>
      </c>
      <c r="Q22" s="16">
        <f>VLOOKUP($C22,'Refugee GER'!$B$2:$G$73,4, FALSE)</f>
        <v>0.44496343870770427</v>
      </c>
      <c r="R22" s="16">
        <f>VLOOKUP($C22,'Refugee GER'!$B$2:$G$73,5, FALSE)</f>
        <v>0.66453103534407398</v>
      </c>
      <c r="S22" s="16">
        <f>VLOOKUP($C22,'Refugee GER'!$B$2:$G$73,6, FALSE)</f>
        <v>0.43786003693393238</v>
      </c>
      <c r="T22" s="9">
        <v>75.476369099999999</v>
      </c>
      <c r="U22" s="2">
        <v>84.600000399999999</v>
      </c>
      <c r="V22" s="2">
        <v>94.300000190000006</v>
      </c>
      <c r="W22" s="8">
        <v>93.599999909999994</v>
      </c>
      <c r="X22" s="9">
        <v>100</v>
      </c>
      <c r="Y22" s="2">
        <v>99.604701390000002</v>
      </c>
      <c r="Z22" s="2">
        <v>100</v>
      </c>
      <c r="AA22" s="8">
        <v>100</v>
      </c>
      <c r="AB22" s="3">
        <f t="shared" si="0"/>
        <v>10994.524923062954</v>
      </c>
      <c r="AC22" s="3">
        <f t="shared" si="1"/>
        <v>65706.382313195892</v>
      </c>
      <c r="AD22" s="3">
        <f t="shared" si="2"/>
        <v>28274.594657699057</v>
      </c>
      <c r="AE22" s="3">
        <f t="shared" si="3"/>
        <v>28274.594657699057</v>
      </c>
      <c r="AF22" s="3">
        <f t="shared" si="4"/>
        <v>133250.09655165696</v>
      </c>
      <c r="AG22" s="6">
        <f t="shared" si="5"/>
        <v>1.1238160636739474</v>
      </c>
      <c r="AH22" s="6">
        <f t="shared" si="6"/>
        <v>5.3729934450973795</v>
      </c>
      <c r="AI22" s="6">
        <f t="shared" si="7"/>
        <v>6.7321284020873451</v>
      </c>
      <c r="AJ22" s="6">
        <f t="shared" si="8"/>
        <v>6.7321284020873451</v>
      </c>
      <c r="AK22" s="6">
        <f t="shared" si="9"/>
        <v>19.961066312946016</v>
      </c>
    </row>
    <row r="23" spans="2:37" x14ac:dyDescent="0.2">
      <c r="B23" s="24" t="s">
        <v>25</v>
      </c>
      <c r="C23" s="7" t="s">
        <v>26</v>
      </c>
      <c r="D23" t="s">
        <v>198</v>
      </c>
      <c r="E23" s="2">
        <v>7827.0837505193076</v>
      </c>
      <c r="F23" s="2">
        <v>46962.502503115844</v>
      </c>
      <c r="G23" s="2">
        <v>14605.050678440428</v>
      </c>
      <c r="H23" s="2">
        <v>14605.050678440428</v>
      </c>
      <c r="I23" s="5">
        <v>83999.687610516004</v>
      </c>
      <c r="J23" s="2">
        <v>481.58206804375016</v>
      </c>
      <c r="K23" s="2">
        <v>385.2656544350001</v>
      </c>
      <c r="L23" s="2">
        <v>1382.1248272387836</v>
      </c>
      <c r="M23" s="2">
        <v>77.946608999999995</v>
      </c>
      <c r="N23" s="2">
        <v>101.9</v>
      </c>
      <c r="O23" s="2">
        <v>100.49961</v>
      </c>
      <c r="P23" s="8">
        <v>87.355189999999993</v>
      </c>
      <c r="Q23" s="16">
        <f>VLOOKUP($C23,'Refugee GER'!$B$2:$G$73,4, FALSE)</f>
        <v>0</v>
      </c>
      <c r="R23" s="16">
        <f>VLOOKUP($C23,'Refugee GER'!$B$2:$G$73,5, FALSE)</f>
        <v>0.67414888985633437</v>
      </c>
      <c r="S23" s="16">
        <f>VLOOKUP($C23,'Refugee GER'!$B$2:$G$73,6, FALSE)</f>
        <v>0.32493284879127826</v>
      </c>
      <c r="T23" s="9">
        <v>30</v>
      </c>
      <c r="U23" s="2">
        <v>99</v>
      </c>
      <c r="V23" s="2">
        <v>99</v>
      </c>
      <c r="W23" s="8">
        <v>98</v>
      </c>
      <c r="X23" s="9">
        <v>100</v>
      </c>
      <c r="Y23" s="2">
        <v>99.604701390000002</v>
      </c>
      <c r="Z23" s="2">
        <v>100</v>
      </c>
      <c r="AA23" s="8">
        <v>100</v>
      </c>
      <c r="AB23" s="3">
        <f t="shared" si="0"/>
        <v>7827.0837505193076</v>
      </c>
      <c r="AC23" s="3">
        <f t="shared" si="1"/>
        <v>46776.860383499814</v>
      </c>
      <c r="AD23" s="3">
        <f t="shared" si="2"/>
        <v>14605.050678440428</v>
      </c>
      <c r="AE23" s="3">
        <f t="shared" si="3"/>
        <v>14605.050678440428</v>
      </c>
      <c r="AF23" s="3">
        <f t="shared" si="4"/>
        <v>83814.045490899967</v>
      </c>
      <c r="AG23" s="6">
        <f t="shared" si="5"/>
        <v>3.7693831793267205</v>
      </c>
      <c r="AH23" s="6">
        <f t="shared" si="6"/>
        <v>18.021517728063685</v>
      </c>
      <c r="AI23" s="6">
        <f t="shared" si="7"/>
        <v>20.186003145753155</v>
      </c>
      <c r="AJ23" s="6">
        <f t="shared" si="8"/>
        <v>20.186003145753155</v>
      </c>
      <c r="AK23" s="6">
        <f t="shared" si="9"/>
        <v>62.162907198896711</v>
      </c>
    </row>
    <row r="24" spans="2:37" x14ac:dyDescent="0.2">
      <c r="B24" s="24" t="s">
        <v>167</v>
      </c>
      <c r="C24" s="7" t="s">
        <v>168</v>
      </c>
      <c r="D24" t="s">
        <v>197</v>
      </c>
      <c r="E24" s="2">
        <v>6826.0488777039109</v>
      </c>
      <c r="F24" s="2">
        <v>40956.293266223467</v>
      </c>
      <c r="G24" s="2">
        <v>17087.909872035456</v>
      </c>
      <c r="H24" s="2">
        <v>17087.909872035456</v>
      </c>
      <c r="I24" s="5">
        <v>81958.161887998285</v>
      </c>
      <c r="J24" s="2">
        <v>170.20033254556864</v>
      </c>
      <c r="K24" s="2">
        <v>136.16026603645491</v>
      </c>
      <c r="L24" s="2">
        <v>287.93590022369654</v>
      </c>
      <c r="M24" s="2">
        <v>77.250122070000003</v>
      </c>
      <c r="N24" s="2">
        <v>95.5</v>
      </c>
      <c r="O24" s="2">
        <v>37.69</v>
      </c>
      <c r="P24" s="8">
        <v>5.94</v>
      </c>
      <c r="Q24" s="16">
        <f>VLOOKUP($C24,'Refugee GER'!$B$2:$G$73,4, FALSE)</f>
        <v>0.70453853183064274</v>
      </c>
      <c r="R24" s="16">
        <f>VLOOKUP($C24,'Refugee GER'!$B$2:$G$73,5, FALSE)</f>
        <v>1.4297181846850722</v>
      </c>
      <c r="S24" s="16">
        <f>VLOOKUP($C24,'Refugee GER'!$B$2:$G$73,6, FALSE)</f>
        <v>0.39049080659917951</v>
      </c>
      <c r="T24" s="9">
        <v>90</v>
      </c>
      <c r="U24" s="2">
        <v>100</v>
      </c>
      <c r="V24" s="2">
        <v>50</v>
      </c>
      <c r="W24" s="8">
        <v>10</v>
      </c>
      <c r="X24" s="9">
        <v>100</v>
      </c>
      <c r="Y24" s="2">
        <v>99.604701390000002</v>
      </c>
      <c r="Z24" s="2">
        <v>100</v>
      </c>
      <c r="AA24" s="8">
        <v>100</v>
      </c>
      <c r="AB24" s="3">
        <f t="shared" si="0"/>
        <v>6826.0488777039109</v>
      </c>
      <c r="AC24" s="3">
        <f t="shared" si="1"/>
        <v>40794.393608234561</v>
      </c>
      <c r="AD24" s="3">
        <f t="shared" si="2"/>
        <v>17087.909872035456</v>
      </c>
      <c r="AE24" s="3">
        <f t="shared" si="3"/>
        <v>17087.909872035456</v>
      </c>
      <c r="AF24" s="3">
        <f t="shared" si="4"/>
        <v>81796.262230009379</v>
      </c>
      <c r="AG24" s="6">
        <f t="shared" si="5"/>
        <v>1.1617957889575112</v>
      </c>
      <c r="AH24" s="6">
        <f t="shared" si="6"/>
        <v>5.5545754864930732</v>
      </c>
      <c r="AI24" s="6">
        <f t="shared" si="7"/>
        <v>4.9202227119459199</v>
      </c>
      <c r="AJ24" s="6">
        <f t="shared" si="8"/>
        <v>4.9202227119459199</v>
      </c>
      <c r="AK24" s="6">
        <f t="shared" si="9"/>
        <v>16.556816699342427</v>
      </c>
    </row>
    <row r="25" spans="2:37" x14ac:dyDescent="0.2">
      <c r="B25" s="24" t="s">
        <v>165</v>
      </c>
      <c r="C25" s="7" t="s">
        <v>166</v>
      </c>
      <c r="D25" t="s">
        <v>197</v>
      </c>
      <c r="E25" s="2">
        <v>6227.3178124381784</v>
      </c>
      <c r="F25" s="2">
        <v>37363.906874629072</v>
      </c>
      <c r="G25" s="2">
        <v>18439.024768185398</v>
      </c>
      <c r="H25" s="2">
        <v>18439.024768185398</v>
      </c>
      <c r="I25" s="5">
        <v>80469.274223438042</v>
      </c>
      <c r="J25" s="2">
        <v>347.39044681822446</v>
      </c>
      <c r="K25" s="2">
        <v>277.91235745457953</v>
      </c>
      <c r="L25" s="2">
        <v>558.19378912764864</v>
      </c>
      <c r="M25" s="2">
        <v>29.2698307</v>
      </c>
      <c r="N25" s="2">
        <v>91.59</v>
      </c>
      <c r="O25" s="2">
        <v>95.8</v>
      </c>
      <c r="P25" s="8">
        <v>70.91</v>
      </c>
      <c r="Q25" s="16">
        <f>VLOOKUP($C25,'Refugee GER'!$B$2:$G$73,4, FALSE)</f>
        <v>0.66649571772911431</v>
      </c>
      <c r="R25" s="16">
        <f>VLOOKUP($C25,'Refugee GER'!$B$2:$G$73,5, FALSE)</f>
        <v>0.84998352039134739</v>
      </c>
      <c r="S25" s="16">
        <f>VLOOKUP($C25,'Refugee GER'!$B$2:$G$73,6, FALSE)</f>
        <v>0.78997873077113323</v>
      </c>
      <c r="T25" s="9">
        <v>80</v>
      </c>
      <c r="U25" s="2">
        <v>99.99</v>
      </c>
      <c r="V25" s="2">
        <v>99.99</v>
      </c>
      <c r="W25" s="8">
        <v>87.329999920000006</v>
      </c>
      <c r="X25" s="9">
        <v>100</v>
      </c>
      <c r="Y25" s="2">
        <v>99.604701390000002</v>
      </c>
      <c r="Z25" s="2">
        <v>100</v>
      </c>
      <c r="AA25" s="8">
        <v>100</v>
      </c>
      <c r="AB25" s="3">
        <f t="shared" si="0"/>
        <v>6227.3178124381784</v>
      </c>
      <c r="AC25" s="3">
        <f t="shared" si="1"/>
        <v>37216.207870111968</v>
      </c>
      <c r="AD25" s="3">
        <f t="shared" si="2"/>
        <v>18439.024768185398</v>
      </c>
      <c r="AE25" s="3">
        <f t="shared" si="3"/>
        <v>18439.024768185398</v>
      </c>
      <c r="AF25" s="3">
        <f t="shared" si="4"/>
        <v>80321.575218920945</v>
      </c>
      <c r="AG25" s="6">
        <f t="shared" si="5"/>
        <v>2.1633107173419868</v>
      </c>
      <c r="AH25" s="6">
        <f t="shared" si="6"/>
        <v>10.342844064702494</v>
      </c>
      <c r="AI25" s="6">
        <f t="shared" si="7"/>
        <v>10.292549103171972</v>
      </c>
      <c r="AJ25" s="6">
        <f t="shared" si="8"/>
        <v>10.292549103171972</v>
      </c>
      <c r="AK25" s="6">
        <f t="shared" si="9"/>
        <v>33.091252988388419</v>
      </c>
    </row>
    <row r="26" spans="2:37" x14ac:dyDescent="0.2">
      <c r="B26" s="24" t="s">
        <v>163</v>
      </c>
      <c r="C26" s="7" t="s">
        <v>164</v>
      </c>
      <c r="D26" t="s">
        <v>197</v>
      </c>
      <c r="E26" s="2">
        <v>6650.46</v>
      </c>
      <c r="F26" s="2">
        <v>39902.76</v>
      </c>
      <c r="G26" s="2">
        <v>16810.885000000002</v>
      </c>
      <c r="H26" s="2">
        <v>16810.885000000002</v>
      </c>
      <c r="I26" s="5">
        <v>80174.990000000005</v>
      </c>
      <c r="J26" s="2">
        <v>426.7762302691296</v>
      </c>
      <c r="K26" s="2">
        <v>341.42098421530369</v>
      </c>
      <c r="L26" s="2">
        <v>474.83439823155214</v>
      </c>
      <c r="M26" s="2">
        <v>51.687030790000001</v>
      </c>
      <c r="N26" s="2">
        <v>108.15</v>
      </c>
      <c r="O26" s="2">
        <v>88.98</v>
      </c>
      <c r="P26" s="8">
        <v>71.260000000000005</v>
      </c>
      <c r="Q26" s="16" t="str">
        <f>VLOOKUP($C26,'Refugee GER'!$B$2:$G$73,4, FALSE)</f>
        <v>-</v>
      </c>
      <c r="R26" s="16">
        <f>VLOOKUP($C26,'Refugee GER'!$B$2:$G$73,5, FALSE)</f>
        <v>0.60002537105163012</v>
      </c>
      <c r="S26" s="16">
        <f>VLOOKUP($C26,'Refugee GER'!$B$2:$G$73,6, FALSE)</f>
        <v>0.3102262443438914</v>
      </c>
      <c r="T26" s="9">
        <v>100</v>
      </c>
      <c r="U26" s="2">
        <v>99.375930159999996</v>
      </c>
      <c r="V26" s="2">
        <v>96.706930400000005</v>
      </c>
      <c r="W26" s="8">
        <v>83.047277980000004</v>
      </c>
      <c r="X26" s="9">
        <v>100</v>
      </c>
      <c r="Y26" s="2">
        <v>99.604701390000002</v>
      </c>
      <c r="Z26" s="2">
        <v>100</v>
      </c>
      <c r="AA26" s="8">
        <v>100</v>
      </c>
      <c r="AB26" s="3">
        <f t="shared" si="0"/>
        <v>6650.46</v>
      </c>
      <c r="AC26" s="3">
        <f t="shared" si="1"/>
        <v>39745.024944368372</v>
      </c>
      <c r="AD26" s="3">
        <f t="shared" si="2"/>
        <v>16810.885000000002</v>
      </c>
      <c r="AE26" s="3">
        <f t="shared" si="3"/>
        <v>16810.885000000002</v>
      </c>
      <c r="AF26" s="3">
        <f t="shared" si="4"/>
        <v>80017.254944368382</v>
      </c>
      <c r="AG26" s="6">
        <f t="shared" si="5"/>
        <v>2.8382582483556353</v>
      </c>
      <c r="AH26" s="6">
        <f t="shared" si="6"/>
        <v>13.569785534168046</v>
      </c>
      <c r="AI26" s="6">
        <f t="shared" si="7"/>
        <v>7.9823864627148273</v>
      </c>
      <c r="AJ26" s="6">
        <f t="shared" si="8"/>
        <v>7.9823864627148273</v>
      </c>
      <c r="AK26" s="6">
        <f t="shared" si="9"/>
        <v>32.372816707953334</v>
      </c>
    </row>
    <row r="27" spans="2:37" x14ac:dyDescent="0.2">
      <c r="B27" s="24" t="s">
        <v>161</v>
      </c>
      <c r="C27" s="7" t="s">
        <v>162</v>
      </c>
      <c r="D27" t="s">
        <v>198</v>
      </c>
      <c r="E27" s="2">
        <v>6255.9665377780229</v>
      </c>
      <c r="F27" s="2">
        <v>37535.799226668139</v>
      </c>
      <c r="G27" s="2">
        <v>15177.913323010285</v>
      </c>
      <c r="H27" s="2">
        <v>15177.913323010285</v>
      </c>
      <c r="I27" s="5">
        <v>74147.592410466736</v>
      </c>
      <c r="J27" s="2">
        <v>2266.5473745678864</v>
      </c>
      <c r="K27" s="2">
        <v>1813.2378996543093</v>
      </c>
      <c r="L27" s="2">
        <v>2047.4132534654541</v>
      </c>
      <c r="M27" s="2">
        <v>70.598251340000004</v>
      </c>
      <c r="N27" s="2">
        <v>103.36</v>
      </c>
      <c r="O27" s="2">
        <v>116.42</v>
      </c>
      <c r="P27" s="8">
        <v>80.209999999999994</v>
      </c>
      <c r="Q27" s="16" t="str">
        <f>VLOOKUP($C27,'Refugee GER'!$B$2:$G$73,4, FALSE)</f>
        <v>-</v>
      </c>
      <c r="R27" s="16" t="str">
        <f>VLOOKUP($C27,'Refugee GER'!$B$2:$G$73,5, FALSE)</f>
        <v>-</v>
      </c>
      <c r="S27" s="16" t="str">
        <f>VLOOKUP($C27,'Refugee GER'!$B$2:$G$73,6, FALSE)</f>
        <v>-</v>
      </c>
      <c r="T27" s="9">
        <v>99.099998499999998</v>
      </c>
      <c r="U27" s="2">
        <v>98.79999995</v>
      </c>
      <c r="V27" s="2">
        <v>95</v>
      </c>
      <c r="W27" s="8">
        <v>80</v>
      </c>
      <c r="X27" s="9">
        <v>100</v>
      </c>
      <c r="Y27" s="2">
        <v>99.604701390000002</v>
      </c>
      <c r="Z27" s="2">
        <v>100</v>
      </c>
      <c r="AA27" s="8">
        <v>100</v>
      </c>
      <c r="AB27" s="3">
        <f t="shared" si="0"/>
        <v>6255.9665377780229</v>
      </c>
      <c r="AC27" s="3">
        <f t="shared" si="1"/>
        <v>37387.42073407273</v>
      </c>
      <c r="AD27" s="3">
        <f t="shared" si="2"/>
        <v>15177.913323010285</v>
      </c>
      <c r="AE27" s="3">
        <f t="shared" si="3"/>
        <v>15177.913323010285</v>
      </c>
      <c r="AF27" s="3">
        <f t="shared" si="4"/>
        <v>73999.213917871326</v>
      </c>
      <c r="AG27" s="6">
        <f t="shared" si="5"/>
        <v>14.179444531585329</v>
      </c>
      <c r="AH27" s="6">
        <f t="shared" si="6"/>
        <v>67.792288245342021</v>
      </c>
      <c r="AI27" s="6">
        <f t="shared" si="7"/>
        <v>31.07546089748115</v>
      </c>
      <c r="AJ27" s="6">
        <f t="shared" si="8"/>
        <v>31.07546089748115</v>
      </c>
      <c r="AK27" s="6">
        <f t="shared" si="9"/>
        <v>144.12265457188965</v>
      </c>
    </row>
    <row r="28" spans="2:37" x14ac:dyDescent="0.2">
      <c r="B28" s="24" t="s">
        <v>159</v>
      </c>
      <c r="C28" s="7" t="s">
        <v>160</v>
      </c>
      <c r="D28" t="s">
        <v>198</v>
      </c>
      <c r="E28" s="2">
        <v>2491.0352598752597</v>
      </c>
      <c r="F28" s="2">
        <v>14946.211559251558</v>
      </c>
      <c r="G28" s="2">
        <v>20511.090328482329</v>
      </c>
      <c r="H28" s="2">
        <v>20511.090328482329</v>
      </c>
      <c r="I28" s="5">
        <v>58459.427476091478</v>
      </c>
      <c r="J28" s="2">
        <v>1179.1405381798795</v>
      </c>
      <c r="K28" s="2">
        <v>943.3124305439037</v>
      </c>
      <c r="L28" s="2">
        <v>632.67204673418462</v>
      </c>
      <c r="M28" s="2">
        <v>55.285919190000001</v>
      </c>
      <c r="N28" s="2">
        <v>97.53</v>
      </c>
      <c r="O28" s="2">
        <v>99.87</v>
      </c>
      <c r="P28" s="8">
        <v>96.41</v>
      </c>
      <c r="Q28" s="16" t="str">
        <f>VLOOKUP($C28,'Refugee GER'!$B$2:$G$73,4, FALSE)</f>
        <v>-</v>
      </c>
      <c r="R28" s="16">
        <f>VLOOKUP($C28,'Refugee GER'!$B$2:$G$73,5, FALSE)</f>
        <v>0.83</v>
      </c>
      <c r="S28" s="16">
        <f>VLOOKUP($C28,'Refugee GER'!$B$2:$G$73,6, FALSE)</f>
        <v>0.55000000000000004</v>
      </c>
      <c r="T28" s="9">
        <v>95.217847899999995</v>
      </c>
      <c r="U28" s="2">
        <v>99.202989779999996</v>
      </c>
      <c r="V28" s="2">
        <v>97.282750469999996</v>
      </c>
      <c r="W28" s="8">
        <v>91.16483959</v>
      </c>
      <c r="X28" s="9">
        <v>100</v>
      </c>
      <c r="Y28" s="2">
        <v>99.604701390000002</v>
      </c>
      <c r="Z28" s="2">
        <v>100</v>
      </c>
      <c r="AA28" s="8">
        <v>100</v>
      </c>
      <c r="AB28" s="3">
        <f t="shared" si="0"/>
        <v>2491.0352598752597</v>
      </c>
      <c r="AC28" s="3">
        <f t="shared" si="1"/>
        <v>14887.129392710178</v>
      </c>
      <c r="AD28" s="3">
        <f t="shared" si="2"/>
        <v>20511.090328482329</v>
      </c>
      <c r="AE28" s="3">
        <f t="shared" si="3"/>
        <v>20511.090328482329</v>
      </c>
      <c r="AF28" s="3">
        <f t="shared" si="4"/>
        <v>58400.345309550095</v>
      </c>
      <c r="AG28" s="6">
        <f t="shared" si="5"/>
        <v>2.9372806569543699</v>
      </c>
      <c r="AH28" s="6">
        <f t="shared" si="6"/>
        <v>14.043214211259025</v>
      </c>
      <c r="AI28" s="6">
        <f t="shared" si="7"/>
        <v>12.976793498870654</v>
      </c>
      <c r="AJ28" s="6">
        <f t="shared" si="8"/>
        <v>12.976793498870654</v>
      </c>
      <c r="AK28" s="6">
        <f t="shared" si="9"/>
        <v>42.934081865954703</v>
      </c>
    </row>
    <row r="29" spans="2:37" x14ac:dyDescent="0.2">
      <c r="B29" s="24" t="s">
        <v>157</v>
      </c>
      <c r="C29" s="7" t="s">
        <v>158</v>
      </c>
      <c r="D29" t="s">
        <v>198</v>
      </c>
      <c r="E29" s="2">
        <v>4820.4514285714276</v>
      </c>
      <c r="F29" s="2">
        <v>28922.708571428568</v>
      </c>
      <c r="G29" s="2">
        <v>12185.03</v>
      </c>
      <c r="H29" s="2">
        <v>12185.03</v>
      </c>
      <c r="I29" s="5">
        <v>58113.219999999994</v>
      </c>
      <c r="J29" s="2">
        <v>3980.7858293209988</v>
      </c>
      <c r="K29" s="2">
        <v>3184.6286634567991</v>
      </c>
      <c r="L29" s="2">
        <v>3878.7595791952422</v>
      </c>
      <c r="M29" s="2">
        <v>84.285476680000002</v>
      </c>
      <c r="N29" s="2">
        <v>87.28</v>
      </c>
      <c r="O29" s="2">
        <v>94.07</v>
      </c>
      <c r="P29" s="8">
        <v>86.87</v>
      </c>
      <c r="Q29" s="16" t="str">
        <f>VLOOKUP($C29,'Refugee GER'!$B$2:$G$73,4, FALSE)</f>
        <v>-</v>
      </c>
      <c r="R29" s="16" t="str">
        <f>VLOOKUP($C29,'Refugee GER'!$B$2:$G$73,5, FALSE)</f>
        <v>-</v>
      </c>
      <c r="S29" s="16" t="str">
        <f>VLOOKUP($C29,'Refugee GER'!$B$2:$G$73,6, FALSE)</f>
        <v>-</v>
      </c>
      <c r="T29" s="9">
        <v>96</v>
      </c>
      <c r="U29" s="2">
        <v>99.604701390000002</v>
      </c>
      <c r="V29" s="2">
        <v>99.682246509999999</v>
      </c>
      <c r="W29" s="8">
        <v>91.16483959</v>
      </c>
      <c r="X29" s="9">
        <v>100</v>
      </c>
      <c r="Y29" s="2">
        <v>99.604701390000002</v>
      </c>
      <c r="Z29" s="2">
        <v>100</v>
      </c>
      <c r="AA29" s="8">
        <v>100</v>
      </c>
      <c r="AB29" s="3">
        <f t="shared" si="0"/>
        <v>4820.4514285714276</v>
      </c>
      <c r="AC29" s="3">
        <f t="shared" si="1"/>
        <v>28808.377506471363</v>
      </c>
      <c r="AD29" s="3">
        <f t="shared" si="2"/>
        <v>12185.03</v>
      </c>
      <c r="AE29" s="3">
        <f t="shared" si="3"/>
        <v>12185.03</v>
      </c>
      <c r="AF29" s="3">
        <f t="shared" si="4"/>
        <v>57998.888935042785</v>
      </c>
      <c r="AG29" s="6">
        <f t="shared" si="5"/>
        <v>19.189184737787304</v>
      </c>
      <c r="AH29" s="6">
        <f t="shared" si="6"/>
        <v>91.743984754792805</v>
      </c>
      <c r="AI29" s="6">
        <f t="shared" si="7"/>
        <v>47.262801835281401</v>
      </c>
      <c r="AJ29" s="6">
        <f t="shared" si="8"/>
        <v>47.262801835281401</v>
      </c>
      <c r="AK29" s="6">
        <f t="shared" si="9"/>
        <v>205.45877316314292</v>
      </c>
    </row>
    <row r="30" spans="2:37" x14ac:dyDescent="0.2">
      <c r="B30" s="24" t="s">
        <v>155</v>
      </c>
      <c r="C30" s="7" t="s">
        <v>156</v>
      </c>
      <c r="D30" t="s">
        <v>197</v>
      </c>
      <c r="E30" s="2">
        <v>3588.0671752960598</v>
      </c>
      <c r="F30" s="2">
        <v>21528.403051776357</v>
      </c>
      <c r="G30" s="2">
        <v>7623.7398619542291</v>
      </c>
      <c r="H30" s="2">
        <v>7623.7398619542291</v>
      </c>
      <c r="I30" s="5">
        <v>40363.949950980874</v>
      </c>
      <c r="J30" s="2">
        <v>183.72615107600268</v>
      </c>
      <c r="K30" s="2">
        <v>146.98092086080212</v>
      </c>
      <c r="L30" s="2">
        <v>339.3762926052114</v>
      </c>
      <c r="M30" s="2">
        <v>58.497810000000001</v>
      </c>
      <c r="N30" s="2">
        <v>86.69</v>
      </c>
      <c r="O30" s="2">
        <v>39.46</v>
      </c>
      <c r="P30" s="8">
        <v>30.42</v>
      </c>
      <c r="Q30" s="16">
        <f>VLOOKUP($C30,'Refugee GER'!$B$2:$G$73,4, FALSE)</f>
        <v>9.1142596735437897E-2</v>
      </c>
      <c r="R30" s="16">
        <f>VLOOKUP($C30,'Refugee GER'!$B$2:$G$73,5, FALSE)</f>
        <v>0.29891035165923724</v>
      </c>
      <c r="S30" s="16">
        <f>VLOOKUP($C30,'Refugee GER'!$B$2:$G$73,6, FALSE)</f>
        <v>6.4118205232479325E-2</v>
      </c>
      <c r="T30" s="9">
        <v>93.712125799999995</v>
      </c>
      <c r="U30" s="2">
        <v>85</v>
      </c>
      <c r="V30" s="2">
        <v>75</v>
      </c>
      <c r="W30" s="8">
        <v>60</v>
      </c>
      <c r="X30" s="9">
        <v>100</v>
      </c>
      <c r="Y30" s="2">
        <v>99.604701390000002</v>
      </c>
      <c r="Z30" s="2">
        <v>100</v>
      </c>
      <c r="AA30" s="8">
        <v>100</v>
      </c>
      <c r="AB30" s="3">
        <f t="shared" si="0"/>
        <v>3588.0671752960598</v>
      </c>
      <c r="AC30" s="3">
        <f t="shared" si="1"/>
        <v>21443.30157375749</v>
      </c>
      <c r="AD30" s="3">
        <f t="shared" si="2"/>
        <v>7623.7398619542291</v>
      </c>
      <c r="AE30" s="3">
        <f t="shared" si="3"/>
        <v>7623.7398619542291</v>
      </c>
      <c r="AF30" s="3">
        <f t="shared" si="4"/>
        <v>40278.84847296201</v>
      </c>
      <c r="AG30" s="6">
        <f t="shared" si="5"/>
        <v>0.6592217719192901</v>
      </c>
      <c r="AH30" s="6">
        <f t="shared" si="6"/>
        <v>3.151756211606763</v>
      </c>
      <c r="AI30" s="6">
        <f t="shared" si="7"/>
        <v>2.5873165701365921</v>
      </c>
      <c r="AJ30" s="6">
        <f t="shared" si="8"/>
        <v>2.5873165701365921</v>
      </c>
      <c r="AK30" s="6">
        <f t="shared" si="9"/>
        <v>8.9856111237992362</v>
      </c>
    </row>
    <row r="31" spans="2:37" x14ac:dyDescent="0.2">
      <c r="B31" s="24" t="s">
        <v>153</v>
      </c>
      <c r="C31" s="7" t="s">
        <v>154</v>
      </c>
      <c r="D31" t="s">
        <v>196</v>
      </c>
      <c r="E31" s="2">
        <v>3188.5487297827931</v>
      </c>
      <c r="F31" s="2">
        <v>19131.292378696759</v>
      </c>
      <c r="G31" s="2">
        <v>8818.4451722930153</v>
      </c>
      <c r="H31" s="2">
        <v>8818.4451722930153</v>
      </c>
      <c r="I31" s="5">
        <v>39956.731453065586</v>
      </c>
      <c r="J31" s="2">
        <v>156.19475483678752</v>
      </c>
      <c r="K31" s="2">
        <v>124.95580386943</v>
      </c>
      <c r="L31" s="2">
        <v>296.85821437016824</v>
      </c>
      <c r="M31" s="2">
        <v>28.199960709999999</v>
      </c>
      <c r="N31" s="2">
        <v>134.93</v>
      </c>
      <c r="O31" s="2">
        <v>55.61</v>
      </c>
      <c r="P31" s="8">
        <v>27.66</v>
      </c>
      <c r="Q31" s="16">
        <f>VLOOKUP($C31,'Refugee GER'!$B$2:$G$73,4, FALSE)</f>
        <v>0.71841318721130332</v>
      </c>
      <c r="R31" s="16">
        <f>VLOOKUP($C31,'Refugee GER'!$B$2:$G$73,5, FALSE)</f>
        <v>1.2455105727340345</v>
      </c>
      <c r="S31" s="16">
        <f>VLOOKUP($C31,'Refugee GER'!$B$2:$G$73,6, FALSE)</f>
        <v>0.72504254944539004</v>
      </c>
      <c r="T31" s="9">
        <v>83.199996999999996</v>
      </c>
      <c r="U31" s="2">
        <v>99.8</v>
      </c>
      <c r="V31" s="2">
        <v>91.100000379999997</v>
      </c>
      <c r="W31" s="8">
        <v>60.599998470000003</v>
      </c>
      <c r="X31" s="9">
        <v>100</v>
      </c>
      <c r="Y31" s="2">
        <v>99.604701390000002</v>
      </c>
      <c r="Z31" s="2">
        <v>100</v>
      </c>
      <c r="AA31" s="8">
        <v>100</v>
      </c>
      <c r="AB31" s="3">
        <f t="shared" si="0"/>
        <v>3188.5487297827931</v>
      </c>
      <c r="AC31" s="3">
        <f t="shared" si="1"/>
        <v>19055.666645848734</v>
      </c>
      <c r="AD31" s="3">
        <f t="shared" si="2"/>
        <v>8818.4451722930153</v>
      </c>
      <c r="AE31" s="3">
        <f t="shared" si="3"/>
        <v>8818.4451722930153</v>
      </c>
      <c r="AF31" s="3">
        <f t="shared" si="4"/>
        <v>39881.105720217558</v>
      </c>
      <c r="AG31" s="6">
        <f t="shared" si="5"/>
        <v>0.49803458713357368</v>
      </c>
      <c r="AH31" s="6">
        <f t="shared" si="6"/>
        <v>2.3811161439999133</v>
      </c>
      <c r="AI31" s="6">
        <f t="shared" si="7"/>
        <v>2.6178278873681351</v>
      </c>
      <c r="AJ31" s="6">
        <f t="shared" si="8"/>
        <v>2.6178278873681351</v>
      </c>
      <c r="AK31" s="6">
        <f t="shared" si="9"/>
        <v>8.1148065058697565</v>
      </c>
    </row>
    <row r="32" spans="2:37" x14ac:dyDescent="0.2">
      <c r="B32" s="24" t="s">
        <v>151</v>
      </c>
      <c r="C32" s="7" t="s">
        <v>152</v>
      </c>
      <c r="D32" t="s">
        <v>198</v>
      </c>
      <c r="E32" s="2">
        <v>3678.4684492046736</v>
      </c>
      <c r="F32" s="2">
        <v>22070.81069522804</v>
      </c>
      <c r="G32" s="2">
        <v>5186.2386216686236</v>
      </c>
      <c r="H32" s="2">
        <v>5186.2386216686236</v>
      </c>
      <c r="I32" s="5">
        <v>36121.756387769958</v>
      </c>
      <c r="J32" s="2">
        <v>3066.5255960176719</v>
      </c>
      <c r="K32" s="2">
        <v>2453.2204768141378</v>
      </c>
      <c r="L32" s="2">
        <v>3351.0850200023083</v>
      </c>
      <c r="M32" s="2">
        <v>87.498344419999995</v>
      </c>
      <c r="N32" s="2">
        <v>97.76</v>
      </c>
      <c r="O32" s="2">
        <v>91.7</v>
      </c>
      <c r="P32" s="8">
        <v>77.75</v>
      </c>
      <c r="Q32" s="16">
        <f>VLOOKUP($C32,'Refugee GER'!$B$2:$G$73,4, FALSE)</f>
        <v>0.21672090500542385</v>
      </c>
      <c r="R32" s="16">
        <f>VLOOKUP($C32,'Refugee GER'!$B$2:$G$73,5, FALSE)</f>
        <v>0.42857142857142855</v>
      </c>
      <c r="S32" s="16">
        <f>VLOOKUP($C32,'Refugee GER'!$B$2:$G$73,6, FALSE)</f>
        <v>0.30498392282958198</v>
      </c>
      <c r="T32" s="9">
        <v>100</v>
      </c>
      <c r="U32" s="2">
        <v>99.9</v>
      </c>
      <c r="V32" s="2">
        <v>99.9</v>
      </c>
      <c r="W32" s="8">
        <v>79.899999620000003</v>
      </c>
      <c r="X32" s="9">
        <v>100</v>
      </c>
      <c r="Y32" s="2">
        <v>99.604701390000002</v>
      </c>
      <c r="Z32" s="2">
        <v>100</v>
      </c>
      <c r="AA32" s="8">
        <v>100</v>
      </c>
      <c r="AB32" s="3">
        <f t="shared" si="0"/>
        <v>3678.4684492046736</v>
      </c>
      <c r="AC32" s="3">
        <f t="shared" si="1"/>
        <v>21983.565087334075</v>
      </c>
      <c r="AD32" s="3">
        <f t="shared" si="2"/>
        <v>5186.2386216686236</v>
      </c>
      <c r="AE32" s="3">
        <f t="shared" si="3"/>
        <v>5186.2386216686236</v>
      </c>
      <c r="AF32" s="3">
        <f t="shared" si="4"/>
        <v>36034.510779875993</v>
      </c>
      <c r="AG32" s="6">
        <f t="shared" si="5"/>
        <v>11.280117653629562</v>
      </c>
      <c r="AH32" s="6">
        <f t="shared" si="6"/>
        <v>53.930532025624331</v>
      </c>
      <c r="AI32" s="6">
        <f t="shared" si="7"/>
        <v>17.379526555231141</v>
      </c>
      <c r="AJ32" s="6">
        <f t="shared" si="8"/>
        <v>17.379526555231141</v>
      </c>
      <c r="AK32" s="6">
        <f t="shared" si="9"/>
        <v>99.969702789716166</v>
      </c>
    </row>
    <row r="33" spans="2:37" x14ac:dyDescent="0.2">
      <c r="B33" s="24" t="s">
        <v>149</v>
      </c>
      <c r="C33" s="7" t="s">
        <v>150</v>
      </c>
      <c r="D33" t="s">
        <v>198</v>
      </c>
      <c r="E33" s="2">
        <v>2994.2485714285708</v>
      </c>
      <c r="F33" s="2">
        <v>17965.491428571426</v>
      </c>
      <c r="G33" s="2">
        <v>7568.7950000000001</v>
      </c>
      <c r="H33" s="2">
        <v>7568.7950000000001</v>
      </c>
      <c r="I33" s="5">
        <v>36097.329999999994</v>
      </c>
      <c r="J33" s="2">
        <v>2855.355625107843</v>
      </c>
      <c r="K33" s="2">
        <v>2284.2845000862744</v>
      </c>
      <c r="L33" s="2">
        <v>1792.2782966349967</v>
      </c>
      <c r="M33" s="2">
        <v>33.357521060000003</v>
      </c>
      <c r="N33" s="2">
        <v>100.2</v>
      </c>
      <c r="O33" s="2">
        <v>90.45</v>
      </c>
      <c r="P33" s="8">
        <v>62.23</v>
      </c>
      <c r="Q33" s="16" t="str">
        <f>VLOOKUP($C33,'Refugee GER'!$B$2:$G$73,4, FALSE)</f>
        <v>-</v>
      </c>
      <c r="R33" s="16" t="str">
        <f>VLOOKUP($C33,'Refugee GER'!$B$2:$G$73,5, FALSE)</f>
        <v>-</v>
      </c>
      <c r="S33" s="16" t="str">
        <f>VLOOKUP($C33,'Refugee GER'!$B$2:$G$73,6, FALSE)</f>
        <v>-</v>
      </c>
      <c r="T33" s="9">
        <v>98.359446500000004</v>
      </c>
      <c r="U33" s="2">
        <v>99.202989779999996</v>
      </c>
      <c r="V33" s="2">
        <v>91.300000190000006</v>
      </c>
      <c r="W33" s="8">
        <v>80.799999240000005</v>
      </c>
      <c r="X33" s="9">
        <v>100</v>
      </c>
      <c r="Y33" s="2">
        <v>99.604701390000002</v>
      </c>
      <c r="Z33" s="2">
        <v>100</v>
      </c>
      <c r="AA33" s="8">
        <v>100</v>
      </c>
      <c r="AB33" s="3">
        <f t="shared" si="0"/>
        <v>2994.2485714285708</v>
      </c>
      <c r="AC33" s="3">
        <f t="shared" si="1"/>
        <v>17894.474090674616</v>
      </c>
      <c r="AD33" s="3">
        <f t="shared" si="2"/>
        <v>7568.7950000000001</v>
      </c>
      <c r="AE33" s="3">
        <f t="shared" si="3"/>
        <v>7568.7950000000001</v>
      </c>
      <c r="AF33" s="3">
        <f t="shared" si="4"/>
        <v>36026.312662103184</v>
      </c>
      <c r="AG33" s="6">
        <f t="shared" si="5"/>
        <v>8.5496445013996922</v>
      </c>
      <c r="AH33" s="6">
        <f t="shared" si="6"/>
        <v>40.876069802523453</v>
      </c>
      <c r="AI33" s="6">
        <f t="shared" si="7"/>
        <v>13.565387010179478</v>
      </c>
      <c r="AJ33" s="6">
        <f t="shared" si="8"/>
        <v>13.565387010179478</v>
      </c>
      <c r="AK33" s="6">
        <f t="shared" si="9"/>
        <v>76.5564883242821</v>
      </c>
    </row>
    <row r="34" spans="2:37" x14ac:dyDescent="0.2">
      <c r="B34" s="24" t="s">
        <v>147</v>
      </c>
      <c r="C34" s="7" t="s">
        <v>148</v>
      </c>
      <c r="D34" t="s">
        <v>197</v>
      </c>
      <c r="E34" s="2">
        <v>3241.6338537387019</v>
      </c>
      <c r="F34" s="2">
        <v>19449.803122432211</v>
      </c>
      <c r="G34" s="2">
        <v>6683.2617584223499</v>
      </c>
      <c r="H34" s="2">
        <v>6683.2617584223499</v>
      </c>
      <c r="I34" s="5">
        <v>36057.960493015613</v>
      </c>
      <c r="J34" s="2">
        <v>328.875</v>
      </c>
      <c r="K34" s="2">
        <v>263.09999999999997</v>
      </c>
      <c r="L34" s="2">
        <v>771.97585062669918</v>
      </c>
      <c r="M34" s="2">
        <v>23.45574951</v>
      </c>
      <c r="N34" s="2">
        <v>86.72</v>
      </c>
      <c r="O34" s="2">
        <v>50.98</v>
      </c>
      <c r="P34" s="8">
        <v>43.1</v>
      </c>
      <c r="Q34" s="16">
        <f>VLOOKUP($C34,'Refugee GER'!$B$2:$G$73,4, FALSE)</f>
        <v>0.63998577018854497</v>
      </c>
      <c r="R34" s="16">
        <f>VLOOKUP($C34,'Refugee GER'!$B$2:$G$73,5, FALSE)</f>
        <v>0.44056481153255345</v>
      </c>
      <c r="S34" s="16">
        <f>VLOOKUP($C34,'Refugee GER'!$B$2:$G$73,6, FALSE)</f>
        <v>0.3283620248849497</v>
      </c>
      <c r="T34" s="9">
        <v>93.712125799999995</v>
      </c>
      <c r="U34" s="2">
        <v>83.100000399999999</v>
      </c>
      <c r="V34" s="2">
        <v>84.300000190000006</v>
      </c>
      <c r="W34" s="8">
        <v>74</v>
      </c>
      <c r="X34" s="9">
        <v>100</v>
      </c>
      <c r="Y34" s="2">
        <v>99.604701390000002</v>
      </c>
      <c r="Z34" s="2">
        <v>100</v>
      </c>
      <c r="AA34" s="8">
        <v>100</v>
      </c>
      <c r="AB34" s="3">
        <f t="shared" si="0"/>
        <v>3241.6338537387019</v>
      </c>
      <c r="AC34" s="3">
        <f t="shared" si="1"/>
        <v>19372.918321041499</v>
      </c>
      <c r="AD34" s="3">
        <f t="shared" si="2"/>
        <v>6683.2617584223499</v>
      </c>
      <c r="AE34" s="3">
        <f t="shared" si="3"/>
        <v>6683.2617584223499</v>
      </c>
      <c r="AF34" s="3">
        <f t="shared" si="4"/>
        <v>35981.075691624901</v>
      </c>
      <c r="AG34" s="6">
        <f t="shared" si="5"/>
        <v>1.0660923336483157</v>
      </c>
      <c r="AH34" s="6">
        <f t="shared" si="6"/>
        <v>5.0970148102660175</v>
      </c>
      <c r="AI34" s="6">
        <f t="shared" si="7"/>
        <v>5.159316680918983</v>
      </c>
      <c r="AJ34" s="6">
        <f t="shared" si="8"/>
        <v>5.159316680918983</v>
      </c>
      <c r="AK34" s="6">
        <f t="shared" si="9"/>
        <v>16.481740505752299</v>
      </c>
    </row>
    <row r="35" spans="2:37" x14ac:dyDescent="0.2">
      <c r="B35" s="24" t="s">
        <v>145</v>
      </c>
      <c r="C35" s="7" t="s">
        <v>146</v>
      </c>
      <c r="D35" t="s">
        <v>196</v>
      </c>
      <c r="E35" s="2">
        <v>2760.2194945750875</v>
      </c>
      <c r="F35" s="2">
        <v>16561.316967450526</v>
      </c>
      <c r="G35" s="2">
        <v>7582.6040573751125</v>
      </c>
      <c r="H35" s="2">
        <v>7582.6040573751125</v>
      </c>
      <c r="I35" s="5">
        <v>34486.74457677584</v>
      </c>
      <c r="J35" s="2">
        <v>69.716314645356945</v>
      </c>
      <c r="K35" s="2">
        <v>55.773051716285558</v>
      </c>
      <c r="L35" s="2">
        <v>164.71603395564466</v>
      </c>
      <c r="M35" s="2">
        <v>16.492300029999999</v>
      </c>
      <c r="N35" s="2">
        <v>103.9</v>
      </c>
      <c r="O35" s="2">
        <v>51.53</v>
      </c>
      <c r="P35" s="8">
        <v>30.66</v>
      </c>
      <c r="Q35" s="16">
        <f>VLOOKUP($C35,'Refugee GER'!$B$2:$G$73,4, FALSE)</f>
        <v>0.53651300775901412</v>
      </c>
      <c r="R35" s="16">
        <f>VLOOKUP($C35,'Refugee GER'!$B$2:$G$73,5, FALSE)</f>
        <v>0.7793756397134084</v>
      </c>
      <c r="S35" s="16">
        <f>VLOOKUP($C35,'Refugee GER'!$B$2:$G$73,6, FALSE)</f>
        <v>0.59117067402443835</v>
      </c>
      <c r="T35" s="9">
        <v>60</v>
      </c>
      <c r="U35" s="2">
        <v>91.624667500000001</v>
      </c>
      <c r="V35" s="2">
        <v>83.807425690000002</v>
      </c>
      <c r="W35" s="8">
        <v>66.141795439999996</v>
      </c>
      <c r="X35" s="9">
        <v>100</v>
      </c>
      <c r="Y35" s="2">
        <v>99.604701390000002</v>
      </c>
      <c r="Z35" s="2">
        <v>100</v>
      </c>
      <c r="AA35" s="8">
        <v>100</v>
      </c>
      <c r="AB35" s="3">
        <f t="shared" si="0"/>
        <v>2760.2194945750875</v>
      </c>
      <c r="AC35" s="3">
        <f t="shared" si="1"/>
        <v>16495.8503116805</v>
      </c>
      <c r="AD35" s="3">
        <f t="shared" si="2"/>
        <v>7582.6040573751125</v>
      </c>
      <c r="AE35" s="3">
        <f t="shared" si="3"/>
        <v>7582.6040573751125</v>
      </c>
      <c r="AF35" s="3">
        <f t="shared" si="4"/>
        <v>34421.277921005814</v>
      </c>
      <c r="AG35" s="6">
        <f t="shared" si="5"/>
        <v>0.1924323307740449</v>
      </c>
      <c r="AH35" s="6">
        <f t="shared" si="6"/>
        <v>0.92002391253746185</v>
      </c>
      <c r="AI35" s="6">
        <f t="shared" si="7"/>
        <v>1.248976467386808</v>
      </c>
      <c r="AJ35" s="6">
        <f t="shared" si="8"/>
        <v>1.248976467386808</v>
      </c>
      <c r="AK35" s="6">
        <f t="shared" si="9"/>
        <v>3.6104091780851233</v>
      </c>
    </row>
    <row r="36" spans="2:37" x14ac:dyDescent="0.2">
      <c r="B36" s="24" t="s">
        <v>143</v>
      </c>
      <c r="C36" s="7" t="s">
        <v>144</v>
      </c>
      <c r="D36" t="s">
        <v>198</v>
      </c>
      <c r="E36" s="2">
        <v>2802.7028571428568</v>
      </c>
      <c r="F36" s="2">
        <v>16816.217142857142</v>
      </c>
      <c r="G36" s="2">
        <v>7084.6100000000006</v>
      </c>
      <c r="H36" s="2">
        <v>7084.6100000000006</v>
      </c>
      <c r="I36" s="5">
        <v>33788.14</v>
      </c>
      <c r="J36" s="2">
        <v>1698.5167893221419</v>
      </c>
      <c r="K36" s="2">
        <v>1358.8134314577135</v>
      </c>
      <c r="L36" s="2">
        <v>1610.9361413563367</v>
      </c>
      <c r="M36" s="2">
        <v>90.331680300000002</v>
      </c>
      <c r="N36" s="2">
        <v>106.54</v>
      </c>
      <c r="O36" s="2">
        <v>104.11</v>
      </c>
      <c r="P36" s="8">
        <v>83.1</v>
      </c>
      <c r="Q36" s="16" t="str">
        <f>VLOOKUP($C36,'Refugee GER'!$B$2:$G$73,4, FALSE)</f>
        <v>-</v>
      </c>
      <c r="R36" s="16" t="str">
        <f>VLOOKUP($C36,'Refugee GER'!$B$2:$G$73,5, FALSE)</f>
        <v>-</v>
      </c>
      <c r="S36" s="16" t="str">
        <f>VLOOKUP($C36,'Refugee GER'!$B$2:$G$73,6, FALSE)</f>
        <v>-</v>
      </c>
      <c r="T36" s="9">
        <v>100</v>
      </c>
      <c r="U36" s="2">
        <v>97.506582100000003</v>
      </c>
      <c r="V36" s="2">
        <v>99.682246509999999</v>
      </c>
      <c r="W36" s="8">
        <v>78.329542630000006</v>
      </c>
      <c r="X36" s="9">
        <v>100</v>
      </c>
      <c r="Y36" s="2">
        <v>99.604701390000002</v>
      </c>
      <c r="Z36" s="2">
        <v>100</v>
      </c>
      <c r="AA36" s="8">
        <v>100</v>
      </c>
      <c r="AB36" s="3">
        <f t="shared" si="0"/>
        <v>2802.7028571428568</v>
      </c>
      <c r="AC36" s="3">
        <f t="shared" si="1"/>
        <v>16749.742870236845</v>
      </c>
      <c r="AD36" s="3">
        <f t="shared" si="2"/>
        <v>7084.6100000000006</v>
      </c>
      <c r="AE36" s="3">
        <f t="shared" si="3"/>
        <v>7084.6100000000006</v>
      </c>
      <c r="AF36" s="3">
        <f t="shared" si="4"/>
        <v>33721.665727379703</v>
      </c>
      <c r="AG36" s="6">
        <f t="shared" si="5"/>
        <v>4.7604378583382791</v>
      </c>
      <c r="AH36" s="6">
        <f t="shared" si="6"/>
        <v>22.759775585540897</v>
      </c>
      <c r="AI36" s="6">
        <f t="shared" si="7"/>
        <v>11.412854296414519</v>
      </c>
      <c r="AJ36" s="6">
        <f t="shared" si="8"/>
        <v>11.412854296414519</v>
      </c>
      <c r="AK36" s="6">
        <f t="shared" si="9"/>
        <v>50.345922036708217</v>
      </c>
    </row>
    <row r="37" spans="2:37" x14ac:dyDescent="0.2">
      <c r="B37" s="24" t="s">
        <v>141</v>
      </c>
      <c r="C37" s="7" t="s">
        <v>142</v>
      </c>
      <c r="D37" t="s">
        <v>197</v>
      </c>
      <c r="E37" s="2">
        <v>2642.22</v>
      </c>
      <c r="F37" s="2">
        <v>15853.32</v>
      </c>
      <c r="G37" s="2">
        <v>6678.9450000000006</v>
      </c>
      <c r="H37" s="2">
        <v>6678.9450000000006</v>
      </c>
      <c r="I37" s="5">
        <v>31853.43</v>
      </c>
      <c r="J37" s="2">
        <v>737.25</v>
      </c>
      <c r="K37" s="2">
        <v>589.79999999999995</v>
      </c>
      <c r="L37" s="2">
        <v>1032.7905000000001</v>
      </c>
      <c r="M37" s="2">
        <v>58.497810000000001</v>
      </c>
      <c r="N37" s="2">
        <v>108.76</v>
      </c>
      <c r="O37" s="2">
        <v>79.777289999999994</v>
      </c>
      <c r="P37" s="8">
        <v>56.754730000000002</v>
      </c>
      <c r="Q37" s="16">
        <f>VLOOKUP($C37,'Refugee GER'!$B$2:$G$73,4, FALSE)</f>
        <v>7.3513513513513512E-2</v>
      </c>
      <c r="R37" s="16">
        <f>VLOOKUP($C37,'Refugee GER'!$B$2:$G$73,5, FALSE)</f>
        <v>0.35771812080536913</v>
      </c>
      <c r="S37" s="16">
        <f>VLOOKUP($C37,'Refugee GER'!$B$2:$G$73,6, FALSE)</f>
        <v>0.20813875917278185</v>
      </c>
      <c r="T37" s="9">
        <v>76.199996999999996</v>
      </c>
      <c r="U37" s="2">
        <v>98.75</v>
      </c>
      <c r="V37" s="2">
        <v>98.13</v>
      </c>
      <c r="W37" s="8">
        <v>89.310000419999994</v>
      </c>
      <c r="X37" s="9">
        <v>100</v>
      </c>
      <c r="Y37" s="2">
        <v>99.604701390000002</v>
      </c>
      <c r="Z37" s="2">
        <v>100</v>
      </c>
      <c r="AA37" s="8">
        <v>100</v>
      </c>
      <c r="AB37" s="3">
        <f t="shared" si="0"/>
        <v>2642.22</v>
      </c>
      <c r="AC37" s="3">
        <f t="shared" si="1"/>
        <v>15790.652046401148</v>
      </c>
      <c r="AD37" s="3">
        <f t="shared" si="2"/>
        <v>6678.9450000000006</v>
      </c>
      <c r="AE37" s="3">
        <f t="shared" si="3"/>
        <v>6678.9450000000006</v>
      </c>
      <c r="AF37" s="3">
        <f t="shared" si="4"/>
        <v>31790.762046401149</v>
      </c>
      <c r="AG37" s="6">
        <f t="shared" si="5"/>
        <v>1.9479766949999999</v>
      </c>
      <c r="AH37" s="6">
        <f t="shared" si="6"/>
        <v>9.3133265769673965</v>
      </c>
      <c r="AI37" s="6">
        <f t="shared" si="7"/>
        <v>6.897950946022501</v>
      </c>
      <c r="AJ37" s="6">
        <f t="shared" si="8"/>
        <v>6.897950946022501</v>
      </c>
      <c r="AK37" s="6">
        <f t="shared" si="9"/>
        <v>25.057205164012398</v>
      </c>
    </row>
    <row r="38" spans="2:37" x14ac:dyDescent="0.2">
      <c r="B38" s="24" t="s">
        <v>139</v>
      </c>
      <c r="C38" s="7" t="s">
        <v>140</v>
      </c>
      <c r="D38" t="s">
        <v>198</v>
      </c>
      <c r="E38" s="2">
        <v>2150.877932085697</v>
      </c>
      <c r="F38" s="2">
        <v>12905.267592514183</v>
      </c>
      <c r="G38" s="2">
        <v>6895.9368066728757</v>
      </c>
      <c r="H38" s="2">
        <v>6895.9368066728757</v>
      </c>
      <c r="I38" s="5">
        <v>28848.01913794563</v>
      </c>
      <c r="J38" s="2">
        <v>3836.3333726504179</v>
      </c>
      <c r="K38" s="2">
        <v>3069.066698120334</v>
      </c>
      <c r="L38" s="2">
        <v>2536.2294568409243</v>
      </c>
      <c r="M38" s="2">
        <v>74.369758610000005</v>
      </c>
      <c r="N38" s="2">
        <v>99.68</v>
      </c>
      <c r="O38" s="2">
        <v>110.92</v>
      </c>
      <c r="P38" s="8">
        <v>108.13</v>
      </c>
      <c r="Q38" s="16" t="str">
        <f>VLOOKUP($C38,'Refugee GER'!$B$2:$G$73,4, FALSE)</f>
        <v>-</v>
      </c>
      <c r="R38" s="16">
        <f>VLOOKUP($C38,'Refugee GER'!$B$2:$G$73,5, FALSE)</f>
        <v>0.64058873478630063</v>
      </c>
      <c r="S38" s="16">
        <f>VLOOKUP($C38,'Refugee GER'!$B$2:$G$73,6, FALSE)</f>
        <v>0.8729082821436136</v>
      </c>
      <c r="T38" s="9">
        <v>100</v>
      </c>
      <c r="U38" s="2">
        <v>99</v>
      </c>
      <c r="V38" s="2">
        <v>97</v>
      </c>
      <c r="W38" s="8">
        <v>88.300000190000006</v>
      </c>
      <c r="X38" s="9">
        <v>100</v>
      </c>
      <c r="Y38" s="2">
        <v>99.604701390000002</v>
      </c>
      <c r="Z38" s="2">
        <v>100</v>
      </c>
      <c r="AA38" s="8">
        <v>100</v>
      </c>
      <c r="AB38" s="3">
        <f t="shared" si="0"/>
        <v>2150.877932085697</v>
      </c>
      <c r="AC38" s="3">
        <f t="shared" si="1"/>
        <v>12854.253249104195</v>
      </c>
      <c r="AD38" s="3">
        <f t="shared" si="2"/>
        <v>6895.9368066728757</v>
      </c>
      <c r="AE38" s="3">
        <f t="shared" si="3"/>
        <v>6895.9368066728757</v>
      </c>
      <c r="AF38" s="3">
        <f t="shared" si="4"/>
        <v>28797.004794535642</v>
      </c>
      <c r="AG38" s="6">
        <f t="shared" si="5"/>
        <v>8.2514847913576777</v>
      </c>
      <c r="AH38" s="6">
        <f t="shared" si="6"/>
        <v>39.450560576030782</v>
      </c>
      <c r="AI38" s="6">
        <f t="shared" si="7"/>
        <v>17.489678061597285</v>
      </c>
      <c r="AJ38" s="6">
        <f t="shared" si="8"/>
        <v>17.489678061597285</v>
      </c>
      <c r="AK38" s="6">
        <f t="shared" si="9"/>
        <v>82.681401490583028</v>
      </c>
    </row>
    <row r="39" spans="2:37" x14ac:dyDescent="0.2">
      <c r="B39" s="24" t="s">
        <v>137</v>
      </c>
      <c r="C39" s="7" t="s">
        <v>138</v>
      </c>
      <c r="D39" t="s">
        <v>196</v>
      </c>
      <c r="E39" s="2">
        <v>2264.3921038309941</v>
      </c>
      <c r="F39" s="2">
        <v>13586.352622985964</v>
      </c>
      <c r="G39" s="2">
        <v>3880.0034055114866</v>
      </c>
      <c r="H39" s="2">
        <v>3880.0034055114866</v>
      </c>
      <c r="I39" s="5">
        <v>23610.751537839933</v>
      </c>
      <c r="J39" s="2">
        <v>329.40147260400806</v>
      </c>
      <c r="K39" s="2">
        <v>263.52117808320645</v>
      </c>
      <c r="L39" s="2">
        <v>351.01311291187312</v>
      </c>
      <c r="M39" s="2">
        <v>7.5959696770000003</v>
      </c>
      <c r="N39" s="2">
        <v>72.650000000000006</v>
      </c>
      <c r="O39" s="2">
        <v>45.12</v>
      </c>
      <c r="P39" s="8">
        <v>23.11</v>
      </c>
      <c r="Q39" s="16">
        <f>VLOOKUP($C39,'Refugee GER'!$B$2:$G$73,4, FALSE)</f>
        <v>0.38417832167832167</v>
      </c>
      <c r="R39" s="16">
        <f>VLOOKUP($C39,'Refugee GER'!$B$2:$G$73,5, FALSE)</f>
        <v>0.57251340083382962</v>
      </c>
      <c r="S39" s="16">
        <f>VLOOKUP($C39,'Refugee GER'!$B$2:$G$73,6, FALSE)</f>
        <v>0.13556055252168325</v>
      </c>
      <c r="T39" s="9">
        <v>75.476369099999999</v>
      </c>
      <c r="U39" s="2">
        <v>91.224337899999995</v>
      </c>
      <c r="V39" s="2">
        <v>85.967888939999995</v>
      </c>
      <c r="W39" s="8">
        <v>66.141795439999996</v>
      </c>
      <c r="X39" s="9">
        <v>100</v>
      </c>
      <c r="Y39" s="2">
        <v>99.604701390000002</v>
      </c>
      <c r="Z39" s="2">
        <v>100</v>
      </c>
      <c r="AA39" s="8">
        <v>100</v>
      </c>
      <c r="AB39" s="3">
        <f t="shared" si="0"/>
        <v>2264.3921038309941</v>
      </c>
      <c r="AC39" s="3">
        <f t="shared" si="1"/>
        <v>13532.645959917601</v>
      </c>
      <c r="AD39" s="3">
        <f t="shared" si="2"/>
        <v>3880.0034055114866</v>
      </c>
      <c r="AE39" s="3">
        <f t="shared" si="3"/>
        <v>3880.0034055114866</v>
      </c>
      <c r="AF39" s="3">
        <f t="shared" si="4"/>
        <v>23557.044874771571</v>
      </c>
      <c r="AG39" s="6">
        <f t="shared" si="5"/>
        <v>0.74589409355481739</v>
      </c>
      <c r="AH39" s="6">
        <f t="shared" si="6"/>
        <v>3.5661388059404304</v>
      </c>
      <c r="AI39" s="6">
        <f t="shared" si="7"/>
        <v>1.3619320734772558</v>
      </c>
      <c r="AJ39" s="6">
        <f t="shared" si="8"/>
        <v>1.3619320734772558</v>
      </c>
      <c r="AK39" s="6">
        <f t="shared" si="9"/>
        <v>7.035897046449759</v>
      </c>
    </row>
    <row r="40" spans="2:37" x14ac:dyDescent="0.2">
      <c r="B40" s="24" t="s">
        <v>135</v>
      </c>
      <c r="C40" s="7" t="s">
        <v>136</v>
      </c>
      <c r="D40" t="s">
        <v>197</v>
      </c>
      <c r="E40" s="2">
        <v>2037.4038514952317</v>
      </c>
      <c r="F40" s="2">
        <v>12224.42310897139</v>
      </c>
      <c r="G40" s="2">
        <v>4196.6043421905379</v>
      </c>
      <c r="H40" s="2">
        <v>4196.6043421905379</v>
      </c>
      <c r="I40" s="5">
        <v>22655.0356448477</v>
      </c>
      <c r="J40" s="2">
        <v>214.13998880354302</v>
      </c>
      <c r="K40" s="2">
        <v>171.31199104283442</v>
      </c>
      <c r="L40" s="2">
        <v>310.3818956695751</v>
      </c>
      <c r="M40" s="2">
        <v>58.497810000000001</v>
      </c>
      <c r="N40" s="2">
        <v>88.57</v>
      </c>
      <c r="O40" s="2">
        <v>79.777289999999994</v>
      </c>
      <c r="P40" s="8">
        <v>56.754730000000002</v>
      </c>
      <c r="Q40" s="16">
        <f>VLOOKUP($C40,'Refugee GER'!$B$2:$G$73,4, FALSE)</f>
        <v>0.71993410214168041</v>
      </c>
      <c r="R40" s="16">
        <f>VLOOKUP($C40,'Refugee GER'!$B$2:$G$73,5, FALSE)</f>
        <v>1.0777705767984447</v>
      </c>
      <c r="S40" s="16">
        <f>VLOOKUP($C40,'Refugee GER'!$B$2:$G$73,6, FALSE)</f>
        <v>0.28743169398907104</v>
      </c>
      <c r="T40" s="9">
        <v>89.099998499999998</v>
      </c>
      <c r="U40" s="2">
        <v>89.399999600000001</v>
      </c>
      <c r="V40" s="2">
        <v>80.200000759999995</v>
      </c>
      <c r="W40" s="8">
        <v>43.200000760000002</v>
      </c>
      <c r="X40" s="9">
        <v>100</v>
      </c>
      <c r="Y40" s="2">
        <v>99.604701390000002</v>
      </c>
      <c r="Z40" s="2">
        <v>100</v>
      </c>
      <c r="AA40" s="8">
        <v>100</v>
      </c>
      <c r="AB40" s="3">
        <f t="shared" si="0"/>
        <v>2037.4038514952317</v>
      </c>
      <c r="AC40" s="3">
        <f t="shared" si="1"/>
        <v>12176.100134341108</v>
      </c>
      <c r="AD40" s="3">
        <f t="shared" si="2"/>
        <v>4196.6043421905379</v>
      </c>
      <c r="AE40" s="3">
        <f t="shared" si="3"/>
        <v>4196.6043421905379</v>
      </c>
      <c r="AF40" s="3">
        <f t="shared" si="4"/>
        <v>22606.712670217417</v>
      </c>
      <c r="AG40" s="6">
        <f t="shared" si="5"/>
        <v>0.43628963794748432</v>
      </c>
      <c r="AH40" s="6">
        <f t="shared" si="6"/>
        <v>2.0859119571508988</v>
      </c>
      <c r="AI40" s="6">
        <f t="shared" si="7"/>
        <v>1.3025500111042694</v>
      </c>
      <c r="AJ40" s="6">
        <f t="shared" si="8"/>
        <v>1.3025500111042694</v>
      </c>
      <c r="AK40" s="6">
        <f t="shared" si="9"/>
        <v>5.1273016173069221</v>
      </c>
    </row>
    <row r="41" spans="2:37" x14ac:dyDescent="0.2">
      <c r="B41" s="24" t="s">
        <v>133</v>
      </c>
      <c r="C41" s="7" t="s">
        <v>134</v>
      </c>
      <c r="D41" t="s">
        <v>197</v>
      </c>
      <c r="E41" s="2">
        <v>1738.1303230689093</v>
      </c>
      <c r="F41" s="2">
        <v>10428.781938413456</v>
      </c>
      <c r="G41" s="2">
        <v>4702.0166124364359</v>
      </c>
      <c r="H41" s="2">
        <v>4702.0166124364359</v>
      </c>
      <c r="I41" s="5">
        <v>21570.945486355238</v>
      </c>
      <c r="J41" s="2">
        <v>237.02845172442039</v>
      </c>
      <c r="K41" s="2">
        <v>189.62276137953629</v>
      </c>
      <c r="L41" s="2">
        <v>227.50225829843629</v>
      </c>
      <c r="M41" s="2">
        <v>58.497810000000001</v>
      </c>
      <c r="N41" s="2">
        <v>94.78</v>
      </c>
      <c r="O41" s="2">
        <v>57.36</v>
      </c>
      <c r="P41" s="8">
        <v>56.754730000000002</v>
      </c>
      <c r="Q41" s="16">
        <f>VLOOKUP($C41,'Refugee GER'!$B$2:$G$73,4, FALSE)</f>
        <v>0.18469968840657569</v>
      </c>
      <c r="R41" s="16">
        <f>VLOOKUP($C41,'Refugee GER'!$B$2:$G$73,5, FALSE)</f>
        <v>0.76825021354885337</v>
      </c>
      <c r="S41" s="16">
        <f>VLOOKUP($C41,'Refugee GER'!$B$2:$G$73,6, FALSE)</f>
        <v>0.29741251115296918</v>
      </c>
      <c r="T41" s="9">
        <v>100</v>
      </c>
      <c r="U41" s="2">
        <v>89.199999800000001</v>
      </c>
      <c r="V41" s="2">
        <v>93.300000190000006</v>
      </c>
      <c r="W41" s="8">
        <v>88.800000190000006</v>
      </c>
      <c r="X41" s="9">
        <v>100</v>
      </c>
      <c r="Y41" s="2">
        <v>99.604701390000002</v>
      </c>
      <c r="Z41" s="2">
        <v>100</v>
      </c>
      <c r="AA41" s="8">
        <v>100</v>
      </c>
      <c r="AB41" s="3">
        <f t="shared" si="0"/>
        <v>1738.1303230689093</v>
      </c>
      <c r="AC41" s="3">
        <f t="shared" si="1"/>
        <v>10387.557108370978</v>
      </c>
      <c r="AD41" s="3">
        <f t="shared" si="2"/>
        <v>4702.0166124364359</v>
      </c>
      <c r="AE41" s="3">
        <f t="shared" si="3"/>
        <v>4702.0166124364359</v>
      </c>
      <c r="AF41" s="3">
        <f t="shared" si="4"/>
        <v>21529.720656312762</v>
      </c>
      <c r="AG41" s="6">
        <f t="shared" si="5"/>
        <v>0.41198633937229018</v>
      </c>
      <c r="AH41" s="6">
        <f t="shared" si="6"/>
        <v>1.9697172628769359</v>
      </c>
      <c r="AI41" s="6">
        <f t="shared" si="7"/>
        <v>1.0697193978860524</v>
      </c>
      <c r="AJ41" s="6">
        <f t="shared" si="8"/>
        <v>1.0697193978860524</v>
      </c>
      <c r="AK41" s="6">
        <f t="shared" si="9"/>
        <v>4.5211423980213308</v>
      </c>
    </row>
    <row r="42" spans="2:37" x14ac:dyDescent="0.2">
      <c r="B42" s="24" t="s">
        <v>131</v>
      </c>
      <c r="C42" s="7" t="s">
        <v>132</v>
      </c>
      <c r="D42" t="s">
        <v>198</v>
      </c>
      <c r="E42" s="2">
        <v>1335.0460516719149</v>
      </c>
      <c r="F42" s="2">
        <v>8010.2763100314896</v>
      </c>
      <c r="G42" s="2">
        <v>5996.0530962820585</v>
      </c>
      <c r="H42" s="2">
        <v>5996.0530962820585</v>
      </c>
      <c r="I42" s="5">
        <v>21337.428554267524</v>
      </c>
      <c r="J42" s="2">
        <v>2194.0612629481825</v>
      </c>
      <c r="K42" s="2">
        <v>1755.249010358546</v>
      </c>
      <c r="L42" s="2">
        <v>2404.4719867627578</v>
      </c>
      <c r="M42" s="2">
        <v>17.546360020000002</v>
      </c>
      <c r="N42" s="2">
        <v>98.12</v>
      </c>
      <c r="O42" s="2">
        <v>107.37</v>
      </c>
      <c r="P42" s="8">
        <v>115.09</v>
      </c>
      <c r="Q42" s="16" t="str">
        <f>VLOOKUP($C42,'Refugee GER'!$B$2:$G$73,4, FALSE)</f>
        <v>-</v>
      </c>
      <c r="R42" s="16">
        <f>VLOOKUP($C42,'Refugee GER'!$B$2:$G$73,5, FALSE)</f>
        <v>0.95694975022039375</v>
      </c>
      <c r="S42" s="16">
        <f>VLOOKUP($C42,'Refugee GER'!$B$2:$G$73,6, FALSE)</f>
        <v>0.89670437776684697</v>
      </c>
      <c r="T42" s="9">
        <v>97</v>
      </c>
      <c r="U42" s="2">
        <v>99.8</v>
      </c>
      <c r="V42" s="2">
        <v>99</v>
      </c>
      <c r="W42" s="8">
        <v>96</v>
      </c>
      <c r="X42" s="9">
        <v>100</v>
      </c>
      <c r="Y42" s="2">
        <v>99.604701390000002</v>
      </c>
      <c r="Z42" s="2">
        <v>100</v>
      </c>
      <c r="AA42" s="8">
        <v>100</v>
      </c>
      <c r="AB42" s="3">
        <f t="shared" si="0"/>
        <v>1335.0460516719149</v>
      </c>
      <c r="AC42" s="3">
        <f t="shared" si="1"/>
        <v>7978.6117991207766</v>
      </c>
      <c r="AD42" s="3">
        <f t="shared" si="2"/>
        <v>5996.0530962820585</v>
      </c>
      <c r="AE42" s="3">
        <f t="shared" si="3"/>
        <v>5996.0530962820585</v>
      </c>
      <c r="AF42" s="3">
        <f t="shared" si="4"/>
        <v>21305.764043356809</v>
      </c>
      <c r="AG42" s="6">
        <f t="shared" si="5"/>
        <v>2.9291728262252663</v>
      </c>
      <c r="AH42" s="6">
        <f t="shared" si="6"/>
        <v>14.004450464441762</v>
      </c>
      <c r="AI42" s="6">
        <f t="shared" si="7"/>
        <v>14.417341701152306</v>
      </c>
      <c r="AJ42" s="6">
        <f t="shared" si="8"/>
        <v>14.417341701152306</v>
      </c>
      <c r="AK42" s="6">
        <f t="shared" si="9"/>
        <v>45.768306692971642</v>
      </c>
    </row>
    <row r="43" spans="2:37" x14ac:dyDescent="0.2">
      <c r="B43" s="24" t="s">
        <v>129</v>
      </c>
      <c r="C43" s="7" t="s">
        <v>130</v>
      </c>
      <c r="D43" t="s">
        <v>196</v>
      </c>
      <c r="E43" s="2">
        <v>1706.9586079127628</v>
      </c>
      <c r="F43" s="2">
        <v>10241.751647476576</v>
      </c>
      <c r="G43" s="2">
        <v>4180.2834025368302</v>
      </c>
      <c r="H43" s="2">
        <v>4180.2834025368302</v>
      </c>
      <c r="I43" s="5">
        <v>20309.277060462999</v>
      </c>
      <c r="J43" s="2">
        <v>84.419148469131386</v>
      </c>
      <c r="K43" s="2">
        <v>67.5353187753051</v>
      </c>
      <c r="L43" s="2">
        <v>241.25042719732883</v>
      </c>
      <c r="M43" s="2">
        <v>20.146460000000001</v>
      </c>
      <c r="N43" s="2">
        <v>126.44</v>
      </c>
      <c r="O43" s="2">
        <v>42.04</v>
      </c>
      <c r="P43" s="8">
        <v>20.77</v>
      </c>
      <c r="Q43" s="16">
        <f>VLOOKUP($C43,'Refugee GER'!$B$2:$G$73,4, FALSE)</f>
        <v>0.54595206642762784</v>
      </c>
      <c r="R43" s="16">
        <f>VLOOKUP($C43,'Refugee GER'!$B$2:$G$73,5, FALSE)</f>
        <v>0.39609327940796835</v>
      </c>
      <c r="S43" s="16">
        <f>VLOOKUP($C43,'Refugee GER'!$B$2:$G$73,6, FALSE)</f>
        <v>0.1542671802148794</v>
      </c>
      <c r="T43" s="9">
        <v>100</v>
      </c>
      <c r="U43" s="2">
        <v>91.224337899999995</v>
      </c>
      <c r="V43" s="2">
        <v>83.807425690000002</v>
      </c>
      <c r="W43" s="8">
        <v>85.699999809999994</v>
      </c>
      <c r="X43" s="9">
        <v>100</v>
      </c>
      <c r="Y43" s="2">
        <v>99.604701390000002</v>
      </c>
      <c r="Z43" s="2">
        <v>100</v>
      </c>
      <c r="AA43" s="8">
        <v>100</v>
      </c>
      <c r="AB43" s="3">
        <f t="shared" si="0"/>
        <v>1706.9586079127628</v>
      </c>
      <c r="AC43" s="3">
        <f t="shared" si="1"/>
        <v>10201.266145574449</v>
      </c>
      <c r="AD43" s="3">
        <f t="shared" si="2"/>
        <v>4180.2834025368302</v>
      </c>
      <c r="AE43" s="3">
        <f t="shared" si="3"/>
        <v>4180.2834025368302</v>
      </c>
      <c r="AF43" s="3">
        <f t="shared" si="4"/>
        <v>20268.791558560872</v>
      </c>
      <c r="AG43" s="6">
        <f t="shared" si="5"/>
        <v>0.14409999215204936</v>
      </c>
      <c r="AH43" s="6">
        <f t="shared" si="6"/>
        <v>0.68894576105309835</v>
      </c>
      <c r="AI43" s="6">
        <f t="shared" si="7"/>
        <v>1.0084951566679137</v>
      </c>
      <c r="AJ43" s="6">
        <f t="shared" si="8"/>
        <v>1.0084951566679137</v>
      </c>
      <c r="AK43" s="6">
        <f t="shared" si="9"/>
        <v>2.8500360665409752</v>
      </c>
    </row>
    <row r="44" spans="2:37" x14ac:dyDescent="0.2">
      <c r="B44" s="24" t="s">
        <v>127</v>
      </c>
      <c r="C44" s="7" t="s">
        <v>128</v>
      </c>
      <c r="D44" t="s">
        <v>197</v>
      </c>
      <c r="E44" s="2">
        <v>1533.769834203624</v>
      </c>
      <c r="F44" s="2">
        <v>9202.6190052217444</v>
      </c>
      <c r="G44" s="2">
        <v>4770.6070457443993</v>
      </c>
      <c r="H44" s="2">
        <v>4770.6070457443993</v>
      </c>
      <c r="I44" s="5">
        <v>20277.602930914167</v>
      </c>
      <c r="J44" s="2">
        <v>440.64</v>
      </c>
      <c r="K44" s="2">
        <v>352.512</v>
      </c>
      <c r="L44" s="2">
        <v>561.81600000000003</v>
      </c>
      <c r="M44" s="2">
        <v>14.2859602</v>
      </c>
      <c r="N44" s="2">
        <v>87.67</v>
      </c>
      <c r="O44" s="2">
        <v>49.94</v>
      </c>
      <c r="P44" s="8">
        <v>46.2</v>
      </c>
      <c r="Q44" s="16" t="str">
        <f>VLOOKUP($C44,'Refugee GER'!$B$2:$G$73,4, FALSE)</f>
        <v>-</v>
      </c>
      <c r="R44" s="16" t="str">
        <f>VLOOKUP($C44,'Refugee GER'!$B$2:$G$73,5, FALSE)</f>
        <v>-</v>
      </c>
      <c r="S44" s="16" t="str">
        <f>VLOOKUP($C44,'Refugee GER'!$B$2:$G$73,6, FALSE)</f>
        <v>-</v>
      </c>
      <c r="T44" s="9">
        <v>47</v>
      </c>
      <c r="U44" s="2">
        <v>98.789999960000003</v>
      </c>
      <c r="V44" s="2">
        <v>72.629999159999997</v>
      </c>
      <c r="W44" s="8">
        <v>67.659999850000005</v>
      </c>
      <c r="X44" s="9">
        <v>100</v>
      </c>
      <c r="Y44" s="2">
        <v>99.604701390000002</v>
      </c>
      <c r="Z44" s="2">
        <v>100</v>
      </c>
      <c r="AA44" s="8">
        <v>100</v>
      </c>
      <c r="AB44" s="3">
        <f t="shared" si="0"/>
        <v>1533.769834203624</v>
      </c>
      <c r="AC44" s="3">
        <f t="shared" si="1"/>
        <v>9166.2411802105071</v>
      </c>
      <c r="AD44" s="3">
        <f t="shared" si="2"/>
        <v>4770.6070457443993</v>
      </c>
      <c r="AE44" s="3">
        <f t="shared" si="3"/>
        <v>4770.6070457443993</v>
      </c>
      <c r="AF44" s="3">
        <f t="shared" si="4"/>
        <v>20241.225105902929</v>
      </c>
      <c r="AG44" s="6">
        <f t="shared" si="5"/>
        <v>0.6758403397434849</v>
      </c>
      <c r="AH44" s="6">
        <f t="shared" si="6"/>
        <v>3.2312100109183661</v>
      </c>
      <c r="AI44" s="6">
        <f t="shared" si="7"/>
        <v>2.6802033680119357</v>
      </c>
      <c r="AJ44" s="6">
        <f t="shared" si="8"/>
        <v>2.6802033680119357</v>
      </c>
      <c r="AK44" s="6">
        <f t="shared" si="9"/>
        <v>9.267457086685722</v>
      </c>
    </row>
    <row r="45" spans="2:37" x14ac:dyDescent="0.2">
      <c r="B45" s="24" t="s">
        <v>125</v>
      </c>
      <c r="C45" s="7" t="s">
        <v>126</v>
      </c>
      <c r="D45" t="s">
        <v>196</v>
      </c>
      <c r="E45" s="2">
        <v>1235.6300077830199</v>
      </c>
      <c r="F45" s="2">
        <v>7413.7800466981189</v>
      </c>
      <c r="G45" s="2">
        <v>5524.7111595961678</v>
      </c>
      <c r="H45" s="2">
        <v>5524.7111595961678</v>
      </c>
      <c r="I45" s="5">
        <v>19698.832373673475</v>
      </c>
      <c r="J45" s="2">
        <v>186.82499999999999</v>
      </c>
      <c r="K45" s="2">
        <v>149.45999999999998</v>
      </c>
      <c r="L45" s="2">
        <v>109.66050000000001</v>
      </c>
      <c r="M45" s="2">
        <v>20.146460000000001</v>
      </c>
      <c r="N45" s="2">
        <v>100.62</v>
      </c>
      <c r="O45" s="2">
        <v>47.309890000000003</v>
      </c>
      <c r="P45" s="8">
        <v>31.588010000000001</v>
      </c>
      <c r="Q45" s="16" t="str">
        <f>VLOOKUP($C45,'Refugee GER'!$B$2:$G$73,4, FALSE)</f>
        <v>-</v>
      </c>
      <c r="R45" s="16">
        <f>VLOOKUP($C45,'Refugee GER'!$B$2:$G$73,5, FALSE)</f>
        <v>0.72295081967213115</v>
      </c>
      <c r="S45" s="16">
        <f>VLOOKUP($C45,'Refugee GER'!$B$2:$G$73,6, FALSE)</f>
        <v>0.28547249647390693</v>
      </c>
      <c r="T45" s="9">
        <v>69.120705000000001</v>
      </c>
      <c r="U45" s="2">
        <v>98.287496579999996</v>
      </c>
      <c r="V45" s="2">
        <v>97.103452160000003</v>
      </c>
      <c r="W45" s="8">
        <v>88.209944770000007</v>
      </c>
      <c r="X45" s="9">
        <v>100</v>
      </c>
      <c r="Y45" s="2">
        <v>99.604701390000002</v>
      </c>
      <c r="Z45" s="2">
        <v>100</v>
      </c>
      <c r="AA45" s="8">
        <v>100</v>
      </c>
      <c r="AB45" s="3">
        <f t="shared" si="0"/>
        <v>1235.6300077830199</v>
      </c>
      <c r="AC45" s="3">
        <f t="shared" si="1"/>
        <v>7384.473477225064</v>
      </c>
      <c r="AD45" s="3">
        <f t="shared" si="2"/>
        <v>5524.7111595961678</v>
      </c>
      <c r="AE45" s="3">
        <f t="shared" si="3"/>
        <v>5524.7111595961678</v>
      </c>
      <c r="AF45" s="3">
        <f t="shared" si="4"/>
        <v>19669.525804200421</v>
      </c>
      <c r="AG45" s="6">
        <f t="shared" si="5"/>
        <v>0.23084657620406268</v>
      </c>
      <c r="AH45" s="6">
        <f t="shared" si="6"/>
        <v>1.1036834059060578</v>
      </c>
      <c r="AI45" s="6">
        <f t="shared" si="7"/>
        <v>0.60584258811689562</v>
      </c>
      <c r="AJ45" s="6">
        <f t="shared" si="8"/>
        <v>0.60584258811689562</v>
      </c>
      <c r="AK45" s="6">
        <f t="shared" si="9"/>
        <v>2.5462151583439119</v>
      </c>
    </row>
    <row r="46" spans="2:37" x14ac:dyDescent="0.2">
      <c r="B46" s="24" t="s">
        <v>123</v>
      </c>
      <c r="C46" s="7" t="s">
        <v>124</v>
      </c>
      <c r="D46" t="s">
        <v>198</v>
      </c>
      <c r="E46" s="2">
        <v>1526.618664407737</v>
      </c>
      <c r="F46" s="2">
        <v>9159.7119864464221</v>
      </c>
      <c r="G46" s="2">
        <v>4484.4423266977274</v>
      </c>
      <c r="H46" s="2">
        <v>4484.4423266977274</v>
      </c>
      <c r="I46" s="5">
        <v>19655.215304249614</v>
      </c>
      <c r="J46" s="2">
        <v>4604.24521141276</v>
      </c>
      <c r="K46" s="2">
        <v>3683.3961691302079</v>
      </c>
      <c r="L46" s="2">
        <v>4470.5480765639968</v>
      </c>
      <c r="M46" s="2">
        <v>95.235038759999995</v>
      </c>
      <c r="N46" s="2">
        <v>108.85</v>
      </c>
      <c r="O46" s="2">
        <v>128.88</v>
      </c>
      <c r="P46" s="8">
        <v>160.09</v>
      </c>
      <c r="Q46" s="16" t="str">
        <f>VLOOKUP($C46,'Refugee GER'!$B$2:$G$73,4, FALSE)</f>
        <v>-</v>
      </c>
      <c r="R46" s="16">
        <f>VLOOKUP($C46,'Refugee GER'!$B$2:$G$73,5, FALSE)</f>
        <v>0.83</v>
      </c>
      <c r="S46" s="16">
        <f>VLOOKUP($C46,'Refugee GER'!$B$2:$G$73,6, FALSE)</f>
        <v>0.67</v>
      </c>
      <c r="T46" s="9">
        <v>100</v>
      </c>
      <c r="U46" s="2">
        <v>100</v>
      </c>
      <c r="V46" s="2">
        <v>100</v>
      </c>
      <c r="W46" s="8">
        <v>96.900639060000003</v>
      </c>
      <c r="X46" s="9">
        <v>100</v>
      </c>
      <c r="Y46" s="2">
        <v>99.604701390000002</v>
      </c>
      <c r="Z46" s="2">
        <v>100</v>
      </c>
      <c r="AA46" s="8">
        <v>100</v>
      </c>
      <c r="AB46" s="3">
        <f t="shared" si="0"/>
        <v>1526.618664407737</v>
      </c>
      <c r="AC46" s="3">
        <f t="shared" si="1"/>
        <v>9123.503772283997</v>
      </c>
      <c r="AD46" s="3">
        <f t="shared" si="2"/>
        <v>4484.4423266977274</v>
      </c>
      <c r="AE46" s="3">
        <f t="shared" si="3"/>
        <v>4484.4423266977274</v>
      </c>
      <c r="AF46" s="3">
        <f t="shared" si="4"/>
        <v>19619.007090087191</v>
      </c>
      <c r="AG46" s="6">
        <f t="shared" si="5"/>
        <v>7.0289266752526665</v>
      </c>
      <c r="AH46" s="6">
        <f t="shared" si="6"/>
        <v>33.605478843875879</v>
      </c>
      <c r="AI46" s="6">
        <f t="shared" si="7"/>
        <v>20.047915018080701</v>
      </c>
      <c r="AJ46" s="6">
        <f t="shared" si="8"/>
        <v>20.047915018080701</v>
      </c>
      <c r="AK46" s="6">
        <f t="shared" si="9"/>
        <v>80.730235555289951</v>
      </c>
    </row>
    <row r="47" spans="2:37" x14ac:dyDescent="0.2">
      <c r="B47" s="24" t="s">
        <v>121</v>
      </c>
      <c r="C47" s="7" t="s">
        <v>122</v>
      </c>
      <c r="D47" t="s">
        <v>196</v>
      </c>
      <c r="E47" s="2">
        <v>1758.0314450594747</v>
      </c>
      <c r="F47" s="2">
        <v>10548.188670356847</v>
      </c>
      <c r="G47" s="2">
        <v>3374.0432140186731</v>
      </c>
      <c r="H47" s="2">
        <v>3374.0432140186731</v>
      </c>
      <c r="I47" s="5">
        <v>19054.306543453669</v>
      </c>
      <c r="J47" s="2">
        <v>109.36102203397226</v>
      </c>
      <c r="K47" s="2">
        <v>87.488817627177809</v>
      </c>
      <c r="L47" s="2">
        <v>107.34065531805554</v>
      </c>
      <c r="M47" s="2">
        <v>20.146460000000001</v>
      </c>
      <c r="N47" s="2">
        <v>110.01</v>
      </c>
      <c r="O47" s="2">
        <v>72.38</v>
      </c>
      <c r="P47" s="8">
        <v>42.04</v>
      </c>
      <c r="Q47" s="16" t="str">
        <f>VLOOKUP($C47,'Refugee GER'!$B$2:$G$73,4, FALSE)</f>
        <v>-</v>
      </c>
      <c r="R47" s="16" t="str">
        <f>VLOOKUP($C47,'Refugee GER'!$B$2:$G$73,5, FALSE)</f>
        <v>-</v>
      </c>
      <c r="S47" s="16" t="str">
        <f>VLOOKUP($C47,'Refugee GER'!$B$2:$G$73,6, FALSE)</f>
        <v>-</v>
      </c>
      <c r="T47" s="9">
        <v>69.120705000000001</v>
      </c>
      <c r="U47" s="2">
        <v>81.623321500000003</v>
      </c>
      <c r="V47" s="2">
        <v>81.26264381</v>
      </c>
      <c r="W47" s="8">
        <v>68.627748999999994</v>
      </c>
      <c r="X47" s="9">
        <v>100</v>
      </c>
      <c r="Y47" s="2">
        <v>99.604701390000002</v>
      </c>
      <c r="Z47" s="2">
        <v>100</v>
      </c>
      <c r="AA47" s="8">
        <v>100</v>
      </c>
      <c r="AB47" s="3">
        <f t="shared" si="0"/>
        <v>1758.0314450594747</v>
      </c>
      <c r="AC47" s="3">
        <f t="shared" si="1"/>
        <v>10506.49182716275</v>
      </c>
      <c r="AD47" s="3">
        <f t="shared" si="2"/>
        <v>3374.0432140186731</v>
      </c>
      <c r="AE47" s="3">
        <f t="shared" si="3"/>
        <v>3374.0432140186731</v>
      </c>
      <c r="AF47" s="3">
        <f t="shared" si="4"/>
        <v>19012.609700259571</v>
      </c>
      <c r="AG47" s="6">
        <f t="shared" si="5"/>
        <v>0.1922601155995653</v>
      </c>
      <c r="AH47" s="6">
        <f t="shared" si="6"/>
        <v>0.91920054736807599</v>
      </c>
      <c r="AI47" s="6">
        <f t="shared" si="7"/>
        <v>0.36217200966420271</v>
      </c>
      <c r="AJ47" s="6">
        <f t="shared" si="8"/>
        <v>0.36217200966420271</v>
      </c>
      <c r="AK47" s="6">
        <f t="shared" si="9"/>
        <v>1.8358046822960468</v>
      </c>
    </row>
    <row r="48" spans="2:37" x14ac:dyDescent="0.2">
      <c r="B48" s="24" t="s">
        <v>119</v>
      </c>
      <c r="C48" s="7" t="s">
        <v>120</v>
      </c>
      <c r="D48" t="s">
        <v>196</v>
      </c>
      <c r="E48" s="2">
        <v>1427.9563137662337</v>
      </c>
      <c r="F48" s="2">
        <v>8567.7378825974029</v>
      </c>
      <c r="G48" s="2">
        <v>2611.7027781818178</v>
      </c>
      <c r="H48" s="2">
        <v>2611.7027781818178</v>
      </c>
      <c r="I48" s="5">
        <v>15219.099752727272</v>
      </c>
      <c r="J48" s="2">
        <v>249.15737201079926</v>
      </c>
      <c r="K48" s="2">
        <v>199.32589760863939</v>
      </c>
      <c r="L48" s="2">
        <v>360.90906171837742</v>
      </c>
      <c r="M48" s="2">
        <v>6.5038170810000002</v>
      </c>
      <c r="N48" s="2">
        <v>82.36</v>
      </c>
      <c r="O48" s="2">
        <v>42.34</v>
      </c>
      <c r="P48" s="8">
        <v>20.56</v>
      </c>
      <c r="Q48" s="16">
        <f>VLOOKUP($C48,'Refugee GER'!$B$2:$G$73,4, FALSE)</f>
        <v>0.15531023981728206</v>
      </c>
      <c r="R48" s="16">
        <f>VLOOKUP($C48,'Refugee GER'!$B$2:$G$73,5, FALSE)</f>
        <v>0.35758900687070583</v>
      </c>
      <c r="S48" s="16">
        <f>VLOOKUP($C48,'Refugee GER'!$B$2:$G$73,6, FALSE)</f>
        <v>0.12958963282937366</v>
      </c>
      <c r="T48" s="9">
        <v>15</v>
      </c>
      <c r="U48" s="2">
        <v>86.600000399999999</v>
      </c>
      <c r="V48" s="2">
        <v>68.200000759999995</v>
      </c>
      <c r="W48" s="8">
        <v>42.700000760000002</v>
      </c>
      <c r="X48" s="9">
        <v>100</v>
      </c>
      <c r="Y48" s="2">
        <v>99.604701390000002</v>
      </c>
      <c r="Z48" s="2">
        <v>100</v>
      </c>
      <c r="AA48" s="8">
        <v>100</v>
      </c>
      <c r="AB48" s="3">
        <f t="shared" si="0"/>
        <v>1427.9563137662337</v>
      </c>
      <c r="AC48" s="3">
        <f t="shared" si="1"/>
        <v>8533.8697338390521</v>
      </c>
      <c r="AD48" s="3">
        <f t="shared" si="2"/>
        <v>2611.7027781818178</v>
      </c>
      <c r="AE48" s="3">
        <f t="shared" si="3"/>
        <v>2611.7027781818178</v>
      </c>
      <c r="AF48" s="3">
        <f t="shared" si="4"/>
        <v>15185.231603968921</v>
      </c>
      <c r="AG48" s="6">
        <f t="shared" si="5"/>
        <v>0.35578584248422307</v>
      </c>
      <c r="AH48" s="6">
        <f t="shared" si="6"/>
        <v>1.7010212447726696</v>
      </c>
      <c r="AI48" s="6">
        <f t="shared" si="7"/>
        <v>0.94258719916087952</v>
      </c>
      <c r="AJ48" s="6">
        <f t="shared" si="8"/>
        <v>0.94258719916087952</v>
      </c>
      <c r="AK48" s="6">
        <f t="shared" si="9"/>
        <v>3.9419814855786512</v>
      </c>
    </row>
    <row r="49" spans="2:37" x14ac:dyDescent="0.2">
      <c r="B49" s="24" t="s">
        <v>117</v>
      </c>
      <c r="C49" s="7" t="s">
        <v>118</v>
      </c>
      <c r="D49" t="s">
        <v>198</v>
      </c>
      <c r="E49" s="2">
        <v>1090.7291019668737</v>
      </c>
      <c r="F49" s="2">
        <v>6544.3746118012423</v>
      </c>
      <c r="G49" s="2">
        <v>2835.3170289855075</v>
      </c>
      <c r="H49" s="2">
        <v>2835.3170289855075</v>
      </c>
      <c r="I49" s="5">
        <v>13305.737771739132</v>
      </c>
      <c r="J49" s="2">
        <v>2169.1966541838269</v>
      </c>
      <c r="K49" s="2">
        <v>1735.3573233470615</v>
      </c>
      <c r="L49" s="2">
        <v>1615.3707308391511</v>
      </c>
      <c r="M49" s="2">
        <v>77.946608999999995</v>
      </c>
      <c r="N49" s="2">
        <v>101.9</v>
      </c>
      <c r="O49" s="2">
        <v>100.49961</v>
      </c>
      <c r="P49" s="8">
        <v>87.355189999999993</v>
      </c>
      <c r="Q49" s="16">
        <f>VLOOKUP($C49,'Refugee GER'!$B$2:$G$73,4, FALSE)</f>
        <v>0</v>
      </c>
      <c r="R49" s="16">
        <f>VLOOKUP($C49,'Refugee GER'!$B$2:$G$73,5, FALSE)</f>
        <v>2.1993514732835191E-2</v>
      </c>
      <c r="S49" s="16">
        <f>VLOOKUP($C49,'Refugee GER'!$B$2:$G$73,6, FALSE)</f>
        <v>2.2001205545509342E-2</v>
      </c>
      <c r="T49" s="9">
        <v>72.713659399999997</v>
      </c>
      <c r="U49" s="2">
        <v>98.287496579999996</v>
      </c>
      <c r="V49" s="2">
        <v>98.471374800000007</v>
      </c>
      <c r="W49" s="8">
        <v>88.209944770000007</v>
      </c>
      <c r="X49" s="9">
        <v>100</v>
      </c>
      <c r="Y49" s="2">
        <v>99.604701390000002</v>
      </c>
      <c r="Z49" s="2">
        <v>100</v>
      </c>
      <c r="AA49" s="8">
        <v>100</v>
      </c>
      <c r="AB49" s="3">
        <f t="shared" si="0"/>
        <v>1090.7291019668737</v>
      </c>
      <c r="AC49" s="3">
        <f t="shared" si="1"/>
        <v>6518.5047899275996</v>
      </c>
      <c r="AD49" s="3">
        <f t="shared" si="2"/>
        <v>2835.3170289855075</v>
      </c>
      <c r="AE49" s="3">
        <f t="shared" si="3"/>
        <v>2835.3170289855075</v>
      </c>
      <c r="AF49" s="3">
        <f t="shared" si="4"/>
        <v>13279.867949865489</v>
      </c>
      <c r="AG49" s="6">
        <f t="shared" si="5"/>
        <v>2.3660059186074722</v>
      </c>
      <c r="AH49" s="6">
        <f t="shared" si="6"/>
        <v>11.311935024473758</v>
      </c>
      <c r="AI49" s="6">
        <f t="shared" si="7"/>
        <v>4.5800881412730092</v>
      </c>
      <c r="AJ49" s="6">
        <f t="shared" si="8"/>
        <v>4.5800881412730092</v>
      </c>
      <c r="AK49" s="6">
        <f t="shared" si="9"/>
        <v>22.838117225627251</v>
      </c>
    </row>
    <row r="50" spans="2:37" x14ac:dyDescent="0.2">
      <c r="B50" s="24" t="s">
        <v>115</v>
      </c>
      <c r="C50" s="7" t="s">
        <v>116</v>
      </c>
      <c r="D50" t="s">
        <v>198</v>
      </c>
      <c r="E50" s="2">
        <v>905.50285714285701</v>
      </c>
      <c r="F50" s="2">
        <v>5433.0171428571421</v>
      </c>
      <c r="G50" s="2">
        <v>2288.91</v>
      </c>
      <c r="H50" s="2">
        <v>2288.91</v>
      </c>
      <c r="I50" s="5">
        <v>10916.339999999998</v>
      </c>
      <c r="J50" s="2">
        <v>1047.2657416167435</v>
      </c>
      <c r="K50" s="2">
        <v>837.8125932933948</v>
      </c>
      <c r="L50" s="2">
        <v>926.75701422660472</v>
      </c>
      <c r="M50" s="2">
        <v>28.784769059999999</v>
      </c>
      <c r="N50" s="2">
        <v>92.9</v>
      </c>
      <c r="O50" s="2">
        <v>101.64</v>
      </c>
      <c r="P50" s="8">
        <v>87.97</v>
      </c>
      <c r="Q50" s="16" t="str">
        <f>VLOOKUP($C50,'Refugee GER'!$B$2:$G$73,4, FALSE)</f>
        <v>-</v>
      </c>
      <c r="R50" s="16" t="str">
        <f>VLOOKUP($C50,'Refugee GER'!$B$2:$G$73,5, FALSE)</f>
        <v>-</v>
      </c>
      <c r="S50" s="16" t="str">
        <f>VLOOKUP($C50,'Refugee GER'!$B$2:$G$73,6, FALSE)</f>
        <v>-</v>
      </c>
      <c r="T50" s="9">
        <v>92</v>
      </c>
      <c r="U50" s="2">
        <v>100</v>
      </c>
      <c r="V50" s="2">
        <v>100</v>
      </c>
      <c r="W50" s="8">
        <v>100</v>
      </c>
      <c r="X50" s="9">
        <v>100</v>
      </c>
      <c r="Y50" s="2">
        <v>99.604701390000002</v>
      </c>
      <c r="Z50" s="2">
        <v>100</v>
      </c>
      <c r="AA50" s="8">
        <v>100</v>
      </c>
      <c r="AB50" s="3">
        <f t="shared" si="0"/>
        <v>905.50285714285701</v>
      </c>
      <c r="AC50" s="3">
        <f t="shared" si="1"/>
        <v>5411.5405016103659</v>
      </c>
      <c r="AD50" s="3">
        <f t="shared" si="2"/>
        <v>2288.91</v>
      </c>
      <c r="AE50" s="3">
        <f t="shared" si="3"/>
        <v>2288.91</v>
      </c>
      <c r="AF50" s="3">
        <f t="shared" si="4"/>
        <v>10894.863358753222</v>
      </c>
      <c r="AG50" s="6">
        <f t="shared" si="5"/>
        <v>0.94830212122179425</v>
      </c>
      <c r="AH50" s="6">
        <f t="shared" si="6"/>
        <v>4.5338567813664188</v>
      </c>
      <c r="AI50" s="6">
        <f t="shared" si="7"/>
        <v>2.1212633974334176</v>
      </c>
      <c r="AJ50" s="6">
        <f t="shared" si="8"/>
        <v>2.1212633974334176</v>
      </c>
      <c r="AK50" s="6">
        <f t="shared" si="9"/>
        <v>9.7246856974550475</v>
      </c>
    </row>
    <row r="51" spans="2:37" x14ac:dyDescent="0.2">
      <c r="B51" s="24" t="s">
        <v>113</v>
      </c>
      <c r="C51" s="7" t="s">
        <v>114</v>
      </c>
      <c r="D51" t="s">
        <v>196</v>
      </c>
      <c r="E51" s="2">
        <v>820.59414591524683</v>
      </c>
      <c r="F51" s="2">
        <v>4923.564875491481</v>
      </c>
      <c r="G51" s="2">
        <v>2405.6365224989077</v>
      </c>
      <c r="H51" s="2">
        <v>2405.6365224989077</v>
      </c>
      <c r="I51" s="5">
        <v>10555.432066404543</v>
      </c>
      <c r="J51" s="2">
        <v>69.525000000000006</v>
      </c>
      <c r="K51" s="2">
        <v>55.62</v>
      </c>
      <c r="L51" s="2">
        <v>666.5909640522824</v>
      </c>
      <c r="M51" s="2">
        <v>1.1460676190000001</v>
      </c>
      <c r="N51" s="2">
        <v>8.4499999999999993</v>
      </c>
      <c r="O51" s="2">
        <v>47.309890000000003</v>
      </c>
      <c r="P51" s="8">
        <v>31.588010000000001</v>
      </c>
      <c r="Q51" s="16">
        <f>VLOOKUP($C51,'Refugee GER'!$B$2:$G$73,4, FALSE)</f>
        <v>0.11045056320400501</v>
      </c>
      <c r="R51" s="16">
        <f>VLOOKUP($C51,'Refugee GER'!$B$2:$G$73,5, FALSE)</f>
        <v>0.85840358271865125</v>
      </c>
      <c r="S51" s="16">
        <f>VLOOKUP($C51,'Refugee GER'!$B$2:$G$73,6, FALSE)</f>
        <v>0.27191235059760954</v>
      </c>
      <c r="T51" s="9">
        <v>75.476369099999999</v>
      </c>
      <c r="U51" s="2">
        <v>91.224337899999995</v>
      </c>
      <c r="V51" s="2">
        <v>85.967888939999995</v>
      </c>
      <c r="W51" s="8">
        <v>66.141795439999996</v>
      </c>
      <c r="X51" s="9">
        <v>100</v>
      </c>
      <c r="Y51" s="2">
        <v>99.604701390000002</v>
      </c>
      <c r="Z51" s="2">
        <v>100</v>
      </c>
      <c r="AA51" s="8">
        <v>100</v>
      </c>
      <c r="AB51" s="3">
        <f t="shared" si="0"/>
        <v>820.59414591524683</v>
      </c>
      <c r="AC51" s="3">
        <f t="shared" si="1"/>
        <v>4904.102091976215</v>
      </c>
      <c r="AD51" s="3">
        <f t="shared" si="2"/>
        <v>2405.6365224989077</v>
      </c>
      <c r="AE51" s="3">
        <f t="shared" si="3"/>
        <v>2405.6365224989077</v>
      </c>
      <c r="AF51" s="3">
        <f t="shared" si="4"/>
        <v>10535.969282889277</v>
      </c>
      <c r="AG51" s="6">
        <f t="shared" si="5"/>
        <v>5.7051807994757536E-2</v>
      </c>
      <c r="AH51" s="6">
        <f t="shared" si="6"/>
        <v>0.2727661583557171</v>
      </c>
      <c r="AI51" s="6">
        <f t="shared" si="7"/>
        <v>1.6035755686919271</v>
      </c>
      <c r="AJ51" s="6">
        <f t="shared" si="8"/>
        <v>1.6035755686919271</v>
      </c>
      <c r="AK51" s="6">
        <f t="shared" si="9"/>
        <v>3.5369691037343287</v>
      </c>
    </row>
    <row r="52" spans="2:37" x14ac:dyDescent="0.2">
      <c r="B52" s="24" t="s">
        <v>111</v>
      </c>
      <c r="C52" s="7" t="s">
        <v>112</v>
      </c>
      <c r="D52" t="s">
        <v>198</v>
      </c>
      <c r="E52" s="2">
        <v>838.4142857142856</v>
      </c>
      <c r="F52" s="2">
        <v>5030.4857142857136</v>
      </c>
      <c r="G52" s="2">
        <v>2119.3250000000003</v>
      </c>
      <c r="H52" s="2">
        <v>2119.3250000000003</v>
      </c>
      <c r="I52" s="5">
        <v>10107.550000000001</v>
      </c>
      <c r="J52" s="2">
        <v>2086.2701884799999</v>
      </c>
      <c r="K52" s="2">
        <v>1669.016150784</v>
      </c>
      <c r="L52" s="2">
        <v>2308.0720867200002</v>
      </c>
      <c r="M52" s="2">
        <v>72.872322080000004</v>
      </c>
      <c r="N52" s="2">
        <v>100.69</v>
      </c>
      <c r="O52" s="2">
        <v>96.95</v>
      </c>
      <c r="P52" s="8">
        <v>85.16</v>
      </c>
      <c r="Q52" s="16" t="str">
        <f>VLOOKUP($C52,'Refugee GER'!$B$2:$G$73,4, FALSE)</f>
        <v>-</v>
      </c>
      <c r="R52" s="16" t="str">
        <f>VLOOKUP($C52,'Refugee GER'!$B$2:$G$73,5, FALSE)</f>
        <v>-</v>
      </c>
      <c r="S52" s="16" t="str">
        <f>VLOOKUP($C52,'Refugee GER'!$B$2:$G$73,6, FALSE)</f>
        <v>-</v>
      </c>
      <c r="T52" s="9">
        <v>100</v>
      </c>
      <c r="U52" s="2">
        <v>99.604701390000002</v>
      </c>
      <c r="V52" s="2">
        <v>99.682246509999999</v>
      </c>
      <c r="W52" s="8">
        <v>97.367769910000007</v>
      </c>
      <c r="X52" s="9">
        <v>100</v>
      </c>
      <c r="Y52" s="2">
        <v>99.604701390000002</v>
      </c>
      <c r="Z52" s="2">
        <v>100</v>
      </c>
      <c r="AA52" s="8">
        <v>100</v>
      </c>
      <c r="AB52" s="3">
        <f t="shared" si="0"/>
        <v>838.4142857142856</v>
      </c>
      <c r="AC52" s="3">
        <f t="shared" si="1"/>
        <v>5010.6002741808943</v>
      </c>
      <c r="AD52" s="3">
        <f t="shared" si="2"/>
        <v>2119.3250000000003</v>
      </c>
      <c r="AE52" s="3">
        <f t="shared" si="3"/>
        <v>2119.3250000000003</v>
      </c>
      <c r="AF52" s="3">
        <f t="shared" si="4"/>
        <v>10087.664559895182</v>
      </c>
      <c r="AG52" s="6">
        <f t="shared" si="5"/>
        <v>1.749158729881467</v>
      </c>
      <c r="AH52" s="6">
        <f t="shared" si="6"/>
        <v>8.3627727827306515</v>
      </c>
      <c r="AI52" s="6">
        <f t="shared" si="7"/>
        <v>4.8915548751878655</v>
      </c>
      <c r="AJ52" s="6">
        <f t="shared" si="8"/>
        <v>4.8915548751878655</v>
      </c>
      <c r="AK52" s="6">
        <f t="shared" si="9"/>
        <v>19.895041262987849</v>
      </c>
    </row>
    <row r="53" spans="2:37" x14ac:dyDescent="0.2">
      <c r="B53" s="24" t="s">
        <v>109</v>
      </c>
      <c r="C53" s="7" t="s">
        <v>110</v>
      </c>
      <c r="D53" t="s">
        <v>197</v>
      </c>
      <c r="E53" s="2">
        <v>778.27916120576674</v>
      </c>
      <c r="F53" s="2">
        <v>4669.6749672346004</v>
      </c>
      <c r="G53" s="2">
        <v>2206.2981651376144</v>
      </c>
      <c r="H53" s="2">
        <v>2206.2981651376144</v>
      </c>
      <c r="I53" s="5">
        <v>9860.5504587155956</v>
      </c>
      <c r="J53" s="2">
        <v>1474.1236247205918</v>
      </c>
      <c r="K53" s="2">
        <v>1179.2988997764735</v>
      </c>
      <c r="L53" s="2">
        <v>25.796295433914512</v>
      </c>
      <c r="M53" s="2">
        <v>11.616270070000001</v>
      </c>
      <c r="N53" s="2">
        <v>64.400000000000006</v>
      </c>
      <c r="O53" s="2">
        <v>52.94</v>
      </c>
      <c r="P53" s="8">
        <v>34.64</v>
      </c>
      <c r="Q53" s="16">
        <f>VLOOKUP($C53,'Refugee GER'!$B$2:$G$73,4, FALSE)</f>
        <v>0.18853211009174312</v>
      </c>
      <c r="R53" s="16">
        <f>VLOOKUP($C53,'Refugee GER'!$B$2:$G$73,5, FALSE)</f>
        <v>0.64838709677419359</v>
      </c>
      <c r="S53" s="16">
        <f>VLOOKUP($C53,'Refugee GER'!$B$2:$G$73,6, FALSE)</f>
        <v>0.40722065348931019</v>
      </c>
      <c r="T53" s="9">
        <v>78.686058000000003</v>
      </c>
      <c r="U53" s="2">
        <v>91.624667500000001</v>
      </c>
      <c r="V53" s="2">
        <v>83.807425690000002</v>
      </c>
      <c r="W53" s="8">
        <v>66.141795439999996</v>
      </c>
      <c r="X53" s="9">
        <v>100</v>
      </c>
      <c r="Y53" s="2">
        <v>99.604701390000002</v>
      </c>
      <c r="Z53" s="2">
        <v>100</v>
      </c>
      <c r="AA53" s="8">
        <v>100</v>
      </c>
      <c r="AB53" s="3">
        <f t="shared" si="0"/>
        <v>778.27916120576674</v>
      </c>
      <c r="AC53" s="3">
        <f t="shared" si="1"/>
        <v>4651.215806997604</v>
      </c>
      <c r="AD53" s="3">
        <f t="shared" si="2"/>
        <v>2206.2981651376144</v>
      </c>
      <c r="AE53" s="3">
        <f t="shared" si="3"/>
        <v>2206.2981651376144</v>
      </c>
      <c r="AF53" s="3">
        <f t="shared" si="4"/>
        <v>9842.0912984785991</v>
      </c>
      <c r="AG53" s="6">
        <f t="shared" si="5"/>
        <v>1.1472796981611466</v>
      </c>
      <c r="AH53" s="6">
        <f t="shared" si="6"/>
        <v>5.4851736838152165</v>
      </c>
      <c r="AI53" s="6">
        <f t="shared" si="7"/>
        <v>5.6914319283193404E-2</v>
      </c>
      <c r="AJ53" s="6">
        <f t="shared" si="8"/>
        <v>5.6914319283193404E-2</v>
      </c>
      <c r="AK53" s="6">
        <f t="shared" si="9"/>
        <v>6.7462820205427505</v>
      </c>
    </row>
    <row r="54" spans="2:37" x14ac:dyDescent="0.2">
      <c r="B54" s="24" t="s">
        <v>107</v>
      </c>
      <c r="C54" s="7" t="s">
        <v>108</v>
      </c>
      <c r="D54" t="s">
        <v>196</v>
      </c>
      <c r="E54" s="2">
        <v>765.16755380036614</v>
      </c>
      <c r="F54" s="2">
        <v>4591.005322802197</v>
      </c>
      <c r="G54" s="2">
        <v>2176.5257411858975</v>
      </c>
      <c r="H54" s="2">
        <v>2176.5257411858975</v>
      </c>
      <c r="I54" s="5">
        <v>9709.2243589743593</v>
      </c>
      <c r="J54" s="2">
        <v>119.04936973800631</v>
      </c>
      <c r="K54" s="2">
        <v>95.239495790405044</v>
      </c>
      <c r="L54" s="2">
        <v>399.6321888919594</v>
      </c>
      <c r="M54" s="2">
        <v>20.146460000000001</v>
      </c>
      <c r="N54" s="2">
        <v>121.18</v>
      </c>
      <c r="O54" s="2">
        <v>44.19</v>
      </c>
      <c r="P54" s="8">
        <v>27.75</v>
      </c>
      <c r="Q54" s="16">
        <f>VLOOKUP($C54,'Refugee GER'!$B$2:$G$73,4, FALSE)</f>
        <v>9.8250336473755043E-2</v>
      </c>
      <c r="R54" s="16">
        <f>VLOOKUP($C54,'Refugee GER'!$B$2:$G$73,5, FALSE)</f>
        <v>0.52897617514488082</v>
      </c>
      <c r="S54" s="16">
        <f>VLOOKUP($C54,'Refugee GER'!$B$2:$G$73,6, FALSE)</f>
        <v>0.29654036243822074</v>
      </c>
      <c r="T54" s="9">
        <v>69.120705000000001</v>
      </c>
      <c r="U54" s="2">
        <v>91.624667500000001</v>
      </c>
      <c r="V54" s="2">
        <v>85.967888939999995</v>
      </c>
      <c r="W54" s="8">
        <v>66.141795439999996</v>
      </c>
      <c r="X54" s="9">
        <v>100</v>
      </c>
      <c r="Y54" s="2">
        <v>99.604701390000002</v>
      </c>
      <c r="Z54" s="2">
        <v>100</v>
      </c>
      <c r="AA54" s="8">
        <v>100</v>
      </c>
      <c r="AB54" s="3">
        <f t="shared" si="0"/>
        <v>765.16755380036614</v>
      </c>
      <c r="AC54" s="3">
        <f t="shared" si="1"/>
        <v>4572.8571425761338</v>
      </c>
      <c r="AD54" s="3">
        <f t="shared" si="2"/>
        <v>2176.5257411858975</v>
      </c>
      <c r="AE54" s="3">
        <f t="shared" si="3"/>
        <v>2176.5257411858975</v>
      </c>
      <c r="AF54" s="3">
        <f t="shared" si="4"/>
        <v>9691.0761787482952</v>
      </c>
      <c r="AG54" s="6">
        <f t="shared" si="5"/>
        <v>9.1092715023905618E-2</v>
      </c>
      <c r="AH54" s="6">
        <f t="shared" si="6"/>
        <v>0.43551660858050334</v>
      </c>
      <c r="AI54" s="6">
        <f t="shared" si="7"/>
        <v>0.86980974612981454</v>
      </c>
      <c r="AJ54" s="6">
        <f t="shared" si="8"/>
        <v>0.86980974612981454</v>
      </c>
      <c r="AK54" s="6">
        <f t="shared" si="9"/>
        <v>2.266228815864038</v>
      </c>
    </row>
    <row r="55" spans="2:37" x14ac:dyDescent="0.2">
      <c r="B55" s="24" t="s">
        <v>105</v>
      </c>
      <c r="C55" s="7" t="s">
        <v>106</v>
      </c>
      <c r="D55" t="s">
        <v>198</v>
      </c>
      <c r="E55" s="2">
        <v>396.51001465559352</v>
      </c>
      <c r="F55" s="2">
        <v>2379.0600879335611</v>
      </c>
      <c r="G55" s="2">
        <v>3370.3351245725453</v>
      </c>
      <c r="H55" s="2">
        <v>3370.3351245725453</v>
      </c>
      <c r="I55" s="5">
        <v>9516.2403517342464</v>
      </c>
      <c r="J55" s="2">
        <v>2721.1855130644171</v>
      </c>
      <c r="K55" s="2">
        <v>2176.9484104515336</v>
      </c>
      <c r="L55" s="2">
        <v>2911.4939002652632</v>
      </c>
      <c r="M55" s="2">
        <v>76.186653140000004</v>
      </c>
      <c r="N55" s="2">
        <v>110.16</v>
      </c>
      <c r="O55" s="2">
        <v>127.19</v>
      </c>
      <c r="P55" s="8">
        <v>105.79</v>
      </c>
      <c r="Q55" s="16" t="str">
        <f>VLOOKUP($C55,'Refugee GER'!$B$2:$G$73,4, FALSE)</f>
        <v>-</v>
      </c>
      <c r="R55" s="16" t="str">
        <f>VLOOKUP($C55,'Refugee GER'!$B$2:$G$73,5, FALSE)</f>
        <v>-</v>
      </c>
      <c r="S55" s="16" t="str">
        <f>VLOOKUP($C55,'Refugee GER'!$B$2:$G$73,6, FALSE)</f>
        <v>-</v>
      </c>
      <c r="T55" s="9">
        <v>100</v>
      </c>
      <c r="U55" s="2">
        <v>100</v>
      </c>
      <c r="V55" s="2">
        <v>95</v>
      </c>
      <c r="W55" s="8">
        <v>100</v>
      </c>
      <c r="X55" s="9">
        <v>100</v>
      </c>
      <c r="Y55" s="2">
        <v>99.604701390000002</v>
      </c>
      <c r="Z55" s="2">
        <v>100</v>
      </c>
      <c r="AA55" s="8">
        <v>100</v>
      </c>
      <c r="AB55" s="3">
        <f t="shared" si="0"/>
        <v>396.51001465559352</v>
      </c>
      <c r="AC55" s="3">
        <f t="shared" si="1"/>
        <v>2369.6556964748952</v>
      </c>
      <c r="AD55" s="3">
        <f t="shared" si="2"/>
        <v>3370.3351245725453</v>
      </c>
      <c r="AE55" s="3">
        <f t="shared" si="3"/>
        <v>3370.3351245725453</v>
      </c>
      <c r="AF55" s="3">
        <f t="shared" si="4"/>
        <v>9506.8359602755791</v>
      </c>
      <c r="AG55" s="6">
        <f t="shared" si="5"/>
        <v>1.0789773076657609</v>
      </c>
      <c r="AH55" s="6">
        <f t="shared" si="6"/>
        <v>5.1586182017584452</v>
      </c>
      <c r="AI55" s="6">
        <f t="shared" si="7"/>
        <v>9.81271015704273</v>
      </c>
      <c r="AJ55" s="6">
        <f t="shared" si="8"/>
        <v>9.81271015704273</v>
      </c>
      <c r="AK55" s="6">
        <f t="shared" si="9"/>
        <v>25.863015823509667</v>
      </c>
    </row>
    <row r="56" spans="2:37" x14ac:dyDescent="0.2">
      <c r="B56" s="24" t="s">
        <v>103</v>
      </c>
      <c r="C56" s="7" t="s">
        <v>104</v>
      </c>
      <c r="D56" t="s">
        <v>198</v>
      </c>
      <c r="E56" s="2">
        <v>686.88</v>
      </c>
      <c r="F56" s="2">
        <v>4121.28</v>
      </c>
      <c r="G56" s="2">
        <v>1736.28</v>
      </c>
      <c r="H56" s="2">
        <v>1736.28</v>
      </c>
      <c r="I56" s="5">
        <v>8280.7199999999993</v>
      </c>
      <c r="J56" s="2">
        <v>6157.5300000000007</v>
      </c>
      <c r="K56" s="2">
        <v>4926.0240000000003</v>
      </c>
      <c r="L56" s="2">
        <v>1407.6315000000002</v>
      </c>
      <c r="M56" s="2">
        <v>63.792690280000002</v>
      </c>
      <c r="N56" s="2">
        <v>96.62</v>
      </c>
      <c r="O56" s="2">
        <v>96.4</v>
      </c>
      <c r="P56" s="8">
        <v>86.81</v>
      </c>
      <c r="Q56" s="16" t="str">
        <f>VLOOKUP($C56,'Refugee GER'!$B$2:$G$73,4, FALSE)</f>
        <v>-</v>
      </c>
      <c r="R56" s="16" t="str">
        <f>VLOOKUP($C56,'Refugee GER'!$B$2:$G$73,5, FALSE)</f>
        <v>-</v>
      </c>
      <c r="S56" s="16" t="str">
        <f>VLOOKUP($C56,'Refugee GER'!$B$2:$G$73,6, FALSE)</f>
        <v>-</v>
      </c>
      <c r="T56" s="9">
        <v>99.672645599999996</v>
      </c>
      <c r="U56" s="2">
        <v>98.88541257</v>
      </c>
      <c r="V56" s="2">
        <v>98.802526119999996</v>
      </c>
      <c r="W56" s="8">
        <v>93</v>
      </c>
      <c r="X56" s="9">
        <v>100</v>
      </c>
      <c r="Y56" s="2">
        <v>99.604701390000002</v>
      </c>
      <c r="Z56" s="2">
        <v>100</v>
      </c>
      <c r="AA56" s="8">
        <v>100</v>
      </c>
      <c r="AB56" s="3">
        <f t="shared" si="0"/>
        <v>686.88</v>
      </c>
      <c r="AC56" s="3">
        <f t="shared" si="1"/>
        <v>4104.9886374457919</v>
      </c>
      <c r="AD56" s="3">
        <f t="shared" si="2"/>
        <v>1736.28</v>
      </c>
      <c r="AE56" s="3">
        <f t="shared" si="3"/>
        <v>1736.28</v>
      </c>
      <c r="AF56" s="3">
        <f t="shared" si="4"/>
        <v>8264.4286374457915</v>
      </c>
      <c r="AG56" s="6">
        <f t="shared" si="5"/>
        <v>4.2294842064000004</v>
      </c>
      <c r="AH56" s="6">
        <f t="shared" si="6"/>
        <v>20.221272547785272</v>
      </c>
      <c r="AI56" s="6">
        <f t="shared" si="7"/>
        <v>2.4440424208200002</v>
      </c>
      <c r="AJ56" s="6">
        <f t="shared" si="8"/>
        <v>2.4440424208200002</v>
      </c>
      <c r="AK56" s="6">
        <f t="shared" si="9"/>
        <v>29.338841595825272</v>
      </c>
    </row>
    <row r="57" spans="2:37" x14ac:dyDescent="0.2">
      <c r="B57" s="24" t="s">
        <v>101</v>
      </c>
      <c r="C57" s="7" t="s">
        <v>102</v>
      </c>
      <c r="D57" t="s">
        <v>197</v>
      </c>
      <c r="E57" s="2">
        <v>635.43239004432326</v>
      </c>
      <c r="F57" s="2">
        <v>3812.5943402659395</v>
      </c>
      <c r="G57" s="2">
        <v>1762.0866348448685</v>
      </c>
      <c r="H57" s="2">
        <v>1762.0866348448685</v>
      </c>
      <c r="I57" s="5">
        <v>7972.2000000000007</v>
      </c>
      <c r="J57" s="2">
        <v>471.25180387878902</v>
      </c>
      <c r="K57" s="2">
        <v>377.00144310303125</v>
      </c>
      <c r="L57" s="2">
        <v>651.58576706040367</v>
      </c>
      <c r="M57" s="2">
        <v>74.315246579999993</v>
      </c>
      <c r="N57" s="2">
        <v>96.02</v>
      </c>
      <c r="O57" s="2">
        <v>79.777289999999994</v>
      </c>
      <c r="P57" s="8">
        <v>56.754730000000002</v>
      </c>
      <c r="Q57" s="16">
        <f>VLOOKUP($C57,'Refugee GER'!$B$2:$G$73,4, FALSE)</f>
        <v>0.72093023255813948</v>
      </c>
      <c r="R57" s="16">
        <f>VLOOKUP($C57,'Refugee GER'!$B$2:$G$73,5, FALSE)</f>
        <v>0.71976781683327962</v>
      </c>
      <c r="S57" s="16">
        <f>VLOOKUP($C57,'Refugee GER'!$B$2:$G$73,6, FALSE)</f>
        <v>0.24323181049069373</v>
      </c>
      <c r="T57" s="9">
        <v>93.712125799999995</v>
      </c>
      <c r="U57" s="2">
        <v>97.506582100000003</v>
      </c>
      <c r="V57" s="2">
        <v>97.5</v>
      </c>
      <c r="W57" s="8">
        <v>78.329542630000006</v>
      </c>
      <c r="X57" s="9">
        <v>100</v>
      </c>
      <c r="Y57" s="2">
        <v>99.604701390000002</v>
      </c>
      <c r="Z57" s="2">
        <v>100</v>
      </c>
      <c r="AA57" s="8">
        <v>100</v>
      </c>
      <c r="AB57" s="3">
        <f t="shared" si="0"/>
        <v>635.43239004432326</v>
      </c>
      <c r="AC57" s="3">
        <f t="shared" si="1"/>
        <v>3797.52320783393</v>
      </c>
      <c r="AD57" s="3">
        <f t="shared" si="2"/>
        <v>1762.0866348448685</v>
      </c>
      <c r="AE57" s="3">
        <f t="shared" si="3"/>
        <v>1762.0866348448685</v>
      </c>
      <c r="AF57" s="3">
        <f t="shared" si="4"/>
        <v>7957.1288675679916</v>
      </c>
      <c r="AG57" s="6">
        <f t="shared" si="5"/>
        <v>0.29944866005139759</v>
      </c>
      <c r="AH57" s="6">
        <f t="shared" si="6"/>
        <v>1.431671729570644</v>
      </c>
      <c r="AI57" s="6">
        <f t="shared" si="7"/>
        <v>1.1481505715922791</v>
      </c>
      <c r="AJ57" s="6">
        <f t="shared" si="8"/>
        <v>1.1481505715922791</v>
      </c>
      <c r="AK57" s="6">
        <f t="shared" si="9"/>
        <v>4.0274215328065992</v>
      </c>
    </row>
    <row r="58" spans="2:37" x14ac:dyDescent="0.2">
      <c r="B58" s="24" t="s">
        <v>99</v>
      </c>
      <c r="C58" s="7" t="s">
        <v>100</v>
      </c>
      <c r="D58" t="s">
        <v>198</v>
      </c>
      <c r="E58" s="2">
        <v>523.38857142857137</v>
      </c>
      <c r="F58" s="2">
        <v>3140.3314285714282</v>
      </c>
      <c r="G58" s="2">
        <v>1323.01</v>
      </c>
      <c r="H58" s="2">
        <v>1323.01</v>
      </c>
      <c r="I58" s="5">
        <v>6309.74</v>
      </c>
      <c r="J58" s="2">
        <v>1790.5183487999998</v>
      </c>
      <c r="K58" s="2">
        <v>1432.4146790399998</v>
      </c>
      <c r="L58" s="2">
        <v>3355.5684542399999</v>
      </c>
      <c r="M58" s="2">
        <v>96.766326899999996</v>
      </c>
      <c r="N58" s="2">
        <v>94.71</v>
      </c>
      <c r="O58" s="2">
        <v>93.21</v>
      </c>
      <c r="P58" s="8">
        <v>98.26</v>
      </c>
      <c r="Q58" s="16" t="str">
        <f>VLOOKUP($C58,'Refugee GER'!$B$2:$G$73,4, FALSE)</f>
        <v>-</v>
      </c>
      <c r="R58" s="16" t="str">
        <f>VLOOKUP($C58,'Refugee GER'!$B$2:$G$73,5, FALSE)</f>
        <v>-</v>
      </c>
      <c r="S58" s="16" t="str">
        <f>VLOOKUP($C58,'Refugee GER'!$B$2:$G$73,6, FALSE)</f>
        <v>-</v>
      </c>
      <c r="T58" s="9">
        <v>96.283445</v>
      </c>
      <c r="U58" s="2">
        <v>99.604701390000002</v>
      </c>
      <c r="V58" s="2">
        <v>98.471374800000007</v>
      </c>
      <c r="W58" s="8">
        <v>91.16483959</v>
      </c>
      <c r="X58" s="9">
        <v>100</v>
      </c>
      <c r="Y58" s="2">
        <v>99.604701390000002</v>
      </c>
      <c r="Z58" s="2">
        <v>100</v>
      </c>
      <c r="AA58" s="8">
        <v>100</v>
      </c>
      <c r="AB58" s="3">
        <f t="shared" si="0"/>
        <v>523.38857142857137</v>
      </c>
      <c r="AC58" s="3">
        <f t="shared" si="1"/>
        <v>3127.9177420848923</v>
      </c>
      <c r="AD58" s="3">
        <f t="shared" si="2"/>
        <v>1323.01</v>
      </c>
      <c r="AE58" s="3">
        <f t="shared" si="3"/>
        <v>1323.01</v>
      </c>
      <c r="AF58" s="3">
        <f t="shared" si="4"/>
        <v>6297.3263135134639</v>
      </c>
      <c r="AG58" s="6">
        <f t="shared" si="5"/>
        <v>0.93713684069507641</v>
      </c>
      <c r="AH58" s="6">
        <f t="shared" si="6"/>
        <v>4.4804752885920518</v>
      </c>
      <c r="AI58" s="6">
        <f t="shared" si="7"/>
        <v>4.4394506206440623</v>
      </c>
      <c r="AJ58" s="6">
        <f t="shared" si="8"/>
        <v>4.4394506206440623</v>
      </c>
      <c r="AK58" s="6">
        <f t="shared" si="9"/>
        <v>14.296513370575255</v>
      </c>
    </row>
    <row r="59" spans="2:37" x14ac:dyDescent="0.2">
      <c r="B59" s="24" t="s">
        <v>97</v>
      </c>
      <c r="C59" s="7" t="s">
        <v>98</v>
      </c>
      <c r="D59" t="s">
        <v>196</v>
      </c>
      <c r="E59" s="2">
        <v>428.652977233878</v>
      </c>
      <c r="F59" s="2">
        <v>2571.9178634032683</v>
      </c>
      <c r="G59" s="2">
        <v>1464.7336331072329</v>
      </c>
      <c r="H59" s="2">
        <v>1464.7336331072329</v>
      </c>
      <c r="I59" s="5">
        <v>5930.0381068516126</v>
      </c>
      <c r="J59" s="2">
        <v>145.04029344000003</v>
      </c>
      <c r="K59" s="2">
        <v>116.03223475200001</v>
      </c>
      <c r="L59" s="2">
        <v>109.674041472</v>
      </c>
      <c r="M59" s="2">
        <v>20.146460000000001</v>
      </c>
      <c r="N59" s="2">
        <v>79.650000000000006</v>
      </c>
      <c r="O59" s="2">
        <v>48.64</v>
      </c>
      <c r="P59" s="8">
        <v>28.37</v>
      </c>
      <c r="Q59" s="16" t="str">
        <f>VLOOKUP($C59,'Refugee GER'!$B$2:$G$73,4, FALSE)</f>
        <v>-</v>
      </c>
      <c r="R59" s="16">
        <f>VLOOKUP($C59,'Refugee GER'!$B$2:$G$73,5, FALSE)</f>
        <v>0.80203959208158371</v>
      </c>
      <c r="S59" s="16">
        <f>VLOOKUP($C59,'Refugee GER'!$B$2:$G$73,6, FALSE)</f>
        <v>0.45917602996254681</v>
      </c>
      <c r="T59" s="9">
        <v>72.713659399999997</v>
      </c>
      <c r="U59" s="2">
        <v>91.224337899999995</v>
      </c>
      <c r="V59" s="2">
        <v>85.967888939999995</v>
      </c>
      <c r="W59" s="8">
        <v>88.209944770000007</v>
      </c>
      <c r="X59" s="9">
        <v>100</v>
      </c>
      <c r="Y59" s="2">
        <v>99.604701390000002</v>
      </c>
      <c r="Z59" s="2">
        <v>100</v>
      </c>
      <c r="AA59" s="8">
        <v>100</v>
      </c>
      <c r="AB59" s="3">
        <f t="shared" si="0"/>
        <v>428.652977233878</v>
      </c>
      <c r="AC59" s="3">
        <f t="shared" si="1"/>
        <v>2561.7511078388934</v>
      </c>
      <c r="AD59" s="3">
        <f t="shared" si="2"/>
        <v>1464.7336331072329</v>
      </c>
      <c r="AE59" s="3">
        <f t="shared" si="3"/>
        <v>1464.7336331072329</v>
      </c>
      <c r="AF59" s="3">
        <f t="shared" si="4"/>
        <v>5919.8713512872373</v>
      </c>
      <c r="AG59" s="6">
        <f t="shared" si="5"/>
        <v>6.2171953601931319E-2</v>
      </c>
      <c r="AH59" s="6">
        <f t="shared" si="6"/>
        <v>0.29724570592095856</v>
      </c>
      <c r="AI59" s="6">
        <f t="shared" si="7"/>
        <v>0.16064325722283587</v>
      </c>
      <c r="AJ59" s="6">
        <f t="shared" si="8"/>
        <v>0.16064325722283587</v>
      </c>
      <c r="AK59" s="6">
        <f t="shared" si="9"/>
        <v>0.68070417396856164</v>
      </c>
    </row>
    <row r="60" spans="2:37" x14ac:dyDescent="0.2">
      <c r="B60" s="24" t="s">
        <v>95</v>
      </c>
      <c r="C60" s="7" t="s">
        <v>96</v>
      </c>
      <c r="D60" t="s">
        <v>198</v>
      </c>
      <c r="E60" s="2">
        <v>453.90903819410596</v>
      </c>
      <c r="F60" s="2">
        <v>2723.4542291646358</v>
      </c>
      <c r="G60" s="2">
        <v>1027.6654693056505</v>
      </c>
      <c r="H60" s="2">
        <v>1027.6654693056505</v>
      </c>
      <c r="I60" s="5">
        <v>5232.6942059700432</v>
      </c>
      <c r="J60" s="2">
        <v>874.86</v>
      </c>
      <c r="K60" s="2">
        <v>699.88800000000003</v>
      </c>
      <c r="L60" s="2">
        <v>1216.8495</v>
      </c>
      <c r="M60" s="2">
        <v>95.248703000000006</v>
      </c>
      <c r="N60" s="2">
        <v>103.41</v>
      </c>
      <c r="O60" s="2">
        <v>98.28</v>
      </c>
      <c r="P60" s="8">
        <v>115.44</v>
      </c>
      <c r="Q60" s="16" t="str">
        <f>VLOOKUP($C60,'Refugee GER'!$B$2:$G$73,4, FALSE)</f>
        <v>-</v>
      </c>
      <c r="R60" s="16" t="str">
        <f>VLOOKUP($C60,'Refugee GER'!$B$2:$G$73,5, FALSE)</f>
        <v>-</v>
      </c>
      <c r="S60" s="16" t="str">
        <f>VLOOKUP($C60,'Refugee GER'!$B$2:$G$73,6, FALSE)</f>
        <v>-</v>
      </c>
      <c r="T60" s="9">
        <v>100</v>
      </c>
      <c r="U60" s="2">
        <v>99</v>
      </c>
      <c r="V60" s="2">
        <v>99</v>
      </c>
      <c r="W60" s="8">
        <v>90</v>
      </c>
      <c r="X60" s="9">
        <v>100</v>
      </c>
      <c r="Y60" s="2">
        <v>99.604701390000002</v>
      </c>
      <c r="Z60" s="2">
        <v>100</v>
      </c>
      <c r="AA60" s="8">
        <v>100</v>
      </c>
      <c r="AB60" s="3">
        <f t="shared" si="0"/>
        <v>453.90903819410596</v>
      </c>
      <c r="AC60" s="3">
        <f t="shared" si="1"/>
        <v>2712.6884524527618</v>
      </c>
      <c r="AD60" s="3">
        <f t="shared" si="2"/>
        <v>1027.6654693056505</v>
      </c>
      <c r="AE60" s="3">
        <f t="shared" si="3"/>
        <v>1027.6654693056505</v>
      </c>
      <c r="AF60" s="3">
        <f t="shared" si="4"/>
        <v>5221.9284292581688</v>
      </c>
      <c r="AG60" s="6">
        <f t="shared" si="5"/>
        <v>0.39710686115449556</v>
      </c>
      <c r="AH60" s="6">
        <f t="shared" si="6"/>
        <v>1.8985780956102587</v>
      </c>
      <c r="AI60" s="6">
        <f t="shared" si="7"/>
        <v>1.2505142124918462</v>
      </c>
      <c r="AJ60" s="6">
        <f t="shared" si="8"/>
        <v>1.2505142124918462</v>
      </c>
      <c r="AK60" s="6">
        <f t="shared" si="9"/>
        <v>4.7967133817484466</v>
      </c>
    </row>
    <row r="61" spans="2:37" x14ac:dyDescent="0.2">
      <c r="B61" s="24" t="s">
        <v>93</v>
      </c>
      <c r="C61" s="7" t="s">
        <v>94</v>
      </c>
      <c r="D61" t="s">
        <v>197</v>
      </c>
      <c r="E61" s="2">
        <v>346.46822572445348</v>
      </c>
      <c r="F61" s="2">
        <v>2078.8093543467207</v>
      </c>
      <c r="G61" s="2">
        <v>1081.3079139128961</v>
      </c>
      <c r="H61" s="2">
        <v>1081.3079139128961</v>
      </c>
      <c r="I61" s="5">
        <v>4587.893407896966</v>
      </c>
      <c r="J61" s="2">
        <v>282.37941070875615</v>
      </c>
      <c r="K61" s="2">
        <v>225.90352856700491</v>
      </c>
      <c r="L61" s="2">
        <v>451.62073953878331</v>
      </c>
      <c r="M61" s="2">
        <v>17.580400470000001</v>
      </c>
      <c r="N61" s="2">
        <v>83.28</v>
      </c>
      <c r="O61" s="2">
        <v>54.35</v>
      </c>
      <c r="P61" s="8">
        <v>35.9</v>
      </c>
      <c r="Q61" s="16">
        <f>VLOOKUP($C61,'Refugee GER'!$B$2:$G$73,4, FALSE)</f>
        <v>9.353233830845771E-2</v>
      </c>
      <c r="R61" s="16">
        <f>VLOOKUP($C61,'Refugee GER'!$B$2:$G$73,5, FALSE)</f>
        <v>0.44536585365853659</v>
      </c>
      <c r="S61" s="16">
        <f>VLOOKUP($C61,'Refugee GER'!$B$2:$G$73,6, FALSE)</f>
        <v>0.18246346555323592</v>
      </c>
      <c r="T61" s="9">
        <v>61.5</v>
      </c>
      <c r="U61" s="2">
        <v>98.70000005</v>
      </c>
      <c r="V61" s="2">
        <v>75.299999240000005</v>
      </c>
      <c r="W61" s="8">
        <v>28.400001530000001</v>
      </c>
      <c r="X61" s="9">
        <v>100</v>
      </c>
      <c r="Y61" s="2">
        <v>99.604701390000002</v>
      </c>
      <c r="Z61" s="2">
        <v>100</v>
      </c>
      <c r="AA61" s="8">
        <v>100</v>
      </c>
      <c r="AB61" s="3">
        <f t="shared" si="0"/>
        <v>346.46822572445348</v>
      </c>
      <c r="AC61" s="3">
        <f t="shared" si="1"/>
        <v>2070.5918498644382</v>
      </c>
      <c r="AD61" s="3">
        <f t="shared" si="2"/>
        <v>1081.3079139128961</v>
      </c>
      <c r="AE61" s="3">
        <f t="shared" si="3"/>
        <v>1081.3079139128961</v>
      </c>
      <c r="AF61" s="3">
        <f t="shared" si="4"/>
        <v>4579.6759034146835</v>
      </c>
      <c r="AG61" s="6">
        <f t="shared" si="5"/>
        <v>9.7835493409379484E-2</v>
      </c>
      <c r="AH61" s="6">
        <f t="shared" si="6"/>
        <v>0.46775400510645865</v>
      </c>
      <c r="AI61" s="6">
        <f t="shared" si="7"/>
        <v>0.48834107975048119</v>
      </c>
      <c r="AJ61" s="6">
        <f t="shared" si="8"/>
        <v>0.48834107975048119</v>
      </c>
      <c r="AK61" s="6">
        <f t="shared" si="9"/>
        <v>1.5422716580168006</v>
      </c>
    </row>
    <row r="62" spans="2:37" x14ac:dyDescent="0.2">
      <c r="B62" s="24" t="s">
        <v>91</v>
      </c>
      <c r="C62" s="7" t="s">
        <v>92</v>
      </c>
      <c r="D62" t="s">
        <v>197</v>
      </c>
      <c r="E62" s="2">
        <v>378.20571428571429</v>
      </c>
      <c r="F62" s="2">
        <v>2269.2342857142858</v>
      </c>
      <c r="G62" s="2">
        <v>956.02</v>
      </c>
      <c r="H62" s="2">
        <v>956.02</v>
      </c>
      <c r="I62" s="5">
        <v>4559.4799999999996</v>
      </c>
      <c r="J62" s="2">
        <v>1664.5680252636362</v>
      </c>
      <c r="K62" s="2">
        <v>1331.6544202109089</v>
      </c>
      <c r="L62" s="2">
        <v>1199.0844697809503</v>
      </c>
      <c r="M62" s="2">
        <v>78.471328740000004</v>
      </c>
      <c r="N62" s="2">
        <v>101.68</v>
      </c>
      <c r="O62" s="2">
        <v>79.777289999999994</v>
      </c>
      <c r="P62" s="8">
        <v>56.754730000000002</v>
      </c>
      <c r="Q62" s="16" t="str">
        <f>VLOOKUP($C62,'Refugee GER'!$B$2:$G$73,4, FALSE)</f>
        <v>-</v>
      </c>
      <c r="R62" s="16" t="str">
        <f>VLOOKUP($C62,'Refugee GER'!$B$2:$G$73,5, FALSE)</f>
        <v>-</v>
      </c>
      <c r="S62" s="16" t="str">
        <f>VLOOKUP($C62,'Refugee GER'!$B$2:$G$73,6, FALSE)</f>
        <v>-</v>
      </c>
      <c r="T62" s="9">
        <v>100</v>
      </c>
      <c r="U62" s="2">
        <v>98.100000019999996</v>
      </c>
      <c r="V62" s="2">
        <v>92.829999920000006</v>
      </c>
      <c r="W62" s="8">
        <v>79.309999469999994</v>
      </c>
      <c r="X62" s="9">
        <v>100</v>
      </c>
      <c r="Y62" s="2">
        <v>99.604701390000002</v>
      </c>
      <c r="Z62" s="2">
        <v>100</v>
      </c>
      <c r="AA62" s="8">
        <v>100</v>
      </c>
      <c r="AB62" s="3">
        <f t="shared" si="0"/>
        <v>378.20571428571429</v>
      </c>
      <c r="AC62" s="3">
        <f t="shared" si="1"/>
        <v>2260.264034125214</v>
      </c>
      <c r="AD62" s="3">
        <f t="shared" si="2"/>
        <v>956.02</v>
      </c>
      <c r="AE62" s="3">
        <f t="shared" si="3"/>
        <v>956.02</v>
      </c>
      <c r="AF62" s="3">
        <f t="shared" si="4"/>
        <v>4550.5097484109283</v>
      </c>
      <c r="AG62" s="6">
        <f t="shared" si="5"/>
        <v>0.62954913897199438</v>
      </c>
      <c r="AH62" s="6">
        <f t="shared" si="6"/>
        <v>3.0098905918865819</v>
      </c>
      <c r="AI62" s="6">
        <f t="shared" si="7"/>
        <v>1.1463487347999841</v>
      </c>
      <c r="AJ62" s="6">
        <f t="shared" si="8"/>
        <v>1.1463487347999841</v>
      </c>
      <c r="AK62" s="6">
        <f t="shared" si="9"/>
        <v>5.9321372004585449</v>
      </c>
    </row>
    <row r="63" spans="2:37" x14ac:dyDescent="0.2">
      <c r="B63" s="24" t="s">
        <v>89</v>
      </c>
      <c r="C63" s="7" t="s">
        <v>90</v>
      </c>
      <c r="D63" t="s">
        <v>196</v>
      </c>
      <c r="E63" s="2">
        <v>423.91081780076689</v>
      </c>
      <c r="F63" s="2">
        <v>2543.4649068046015</v>
      </c>
      <c r="G63" s="2">
        <v>779.35289396236521</v>
      </c>
      <c r="H63" s="2">
        <v>779.35289396236521</v>
      </c>
      <c r="I63" s="5">
        <v>4526.0815125300987</v>
      </c>
      <c r="J63" s="2">
        <v>28.83</v>
      </c>
      <c r="K63" s="2">
        <v>23.063999999999997</v>
      </c>
      <c r="L63" s="2">
        <v>93.973500000000001</v>
      </c>
      <c r="M63" s="2">
        <v>20.146460000000001</v>
      </c>
      <c r="N63" s="2">
        <v>110.71</v>
      </c>
      <c r="O63" s="2">
        <v>20.03</v>
      </c>
      <c r="P63" s="8">
        <v>8.49</v>
      </c>
      <c r="Q63" s="16">
        <f>VLOOKUP($C63,'Refugee GER'!$B$2:$G$73,4, FALSE)</f>
        <v>3.6215816703621583E-2</v>
      </c>
      <c r="R63" s="16">
        <f>VLOOKUP($C63,'Refugee GER'!$B$2:$G$73,5, FALSE)</f>
        <v>0.39703703703703702</v>
      </c>
      <c r="S63" s="16">
        <f>VLOOKUP($C63,'Refugee GER'!$B$2:$G$73,6, FALSE)</f>
        <v>0.30151975683890575</v>
      </c>
      <c r="T63" s="9">
        <v>69.120705000000001</v>
      </c>
      <c r="U63" s="2">
        <v>91.224337899999995</v>
      </c>
      <c r="V63" s="2">
        <v>85.967888939999995</v>
      </c>
      <c r="W63" s="8">
        <v>66.141795439999996</v>
      </c>
      <c r="X63" s="9">
        <v>100</v>
      </c>
      <c r="Y63" s="2">
        <v>99.604701390000002</v>
      </c>
      <c r="Z63" s="2">
        <v>100</v>
      </c>
      <c r="AA63" s="8">
        <v>100</v>
      </c>
      <c r="AB63" s="3">
        <f t="shared" si="0"/>
        <v>423.91081780076689</v>
      </c>
      <c r="AC63" s="3">
        <f t="shared" si="1"/>
        <v>2533.4106253821651</v>
      </c>
      <c r="AD63" s="3">
        <f t="shared" si="2"/>
        <v>779.35289396236521</v>
      </c>
      <c r="AE63" s="3">
        <f t="shared" si="3"/>
        <v>779.35289396236521</v>
      </c>
      <c r="AF63" s="3">
        <f t="shared" si="4"/>
        <v>4516.0272311076624</v>
      </c>
      <c r="AG63" s="6">
        <f t="shared" si="5"/>
        <v>1.2221348877196109E-2</v>
      </c>
      <c r="AH63" s="6">
        <f t="shared" si="6"/>
        <v>5.8430582663814248E-2</v>
      </c>
      <c r="AI63" s="6">
        <f t="shared" si="7"/>
        <v>7.323851918077233E-2</v>
      </c>
      <c r="AJ63" s="6">
        <f t="shared" si="8"/>
        <v>7.323851918077233E-2</v>
      </c>
      <c r="AK63" s="6">
        <f t="shared" si="9"/>
        <v>0.21712896990255504</v>
      </c>
    </row>
    <row r="64" spans="2:37" x14ac:dyDescent="0.2">
      <c r="B64" s="24" t="s">
        <v>87</v>
      </c>
      <c r="C64" s="7" t="s">
        <v>88</v>
      </c>
      <c r="D64" t="s">
        <v>197</v>
      </c>
      <c r="E64" s="2">
        <v>369.1601654953115</v>
      </c>
      <c r="F64" s="2">
        <v>2214.960992971869</v>
      </c>
      <c r="G64" s="2">
        <v>940.19969647148105</v>
      </c>
      <c r="H64" s="2">
        <v>940.19969647148105</v>
      </c>
      <c r="I64" s="5">
        <v>4464.5205514101426</v>
      </c>
      <c r="J64" s="2">
        <v>1234.1729238274324</v>
      </c>
      <c r="K64" s="2">
        <v>987.33833906194593</v>
      </c>
      <c r="L64" s="2">
        <v>1733.6295000000002</v>
      </c>
      <c r="M64" s="2">
        <v>59.870189670000002</v>
      </c>
      <c r="N64" s="2">
        <v>114.17</v>
      </c>
      <c r="O64" s="2">
        <v>105.12</v>
      </c>
      <c r="P64" s="8">
        <v>66.36</v>
      </c>
      <c r="Q64" s="16">
        <f>VLOOKUP($C64,'Refugee GER'!$B$2:$G$73,4, FALSE)</f>
        <v>0.40228873239436619</v>
      </c>
      <c r="R64" s="16">
        <f>VLOOKUP($C64,'Refugee GER'!$B$2:$G$73,5, FALSE)</f>
        <v>0.78119800332778699</v>
      </c>
      <c r="S64" s="16">
        <f>VLOOKUP($C64,'Refugee GER'!$B$2:$G$73,6, FALSE)</f>
        <v>0.4461738002594034</v>
      </c>
      <c r="T64" s="9">
        <v>99</v>
      </c>
      <c r="U64" s="2">
        <v>99.9</v>
      </c>
      <c r="V64" s="2">
        <v>96.5</v>
      </c>
      <c r="W64" s="8">
        <v>87</v>
      </c>
      <c r="X64" s="9">
        <v>100</v>
      </c>
      <c r="Y64" s="2">
        <v>99.604701390000002</v>
      </c>
      <c r="Z64" s="2">
        <v>100</v>
      </c>
      <c r="AA64" s="8">
        <v>100</v>
      </c>
      <c r="AB64" s="3">
        <f t="shared" si="0"/>
        <v>369.1601654953115</v>
      </c>
      <c r="AC64" s="3">
        <f t="shared" si="1"/>
        <v>2206.2052829546092</v>
      </c>
      <c r="AD64" s="3">
        <f t="shared" si="2"/>
        <v>940.19969647148105</v>
      </c>
      <c r="AE64" s="3">
        <f t="shared" si="3"/>
        <v>940.19969647148105</v>
      </c>
      <c r="AF64" s="3">
        <f t="shared" si="4"/>
        <v>4455.7648413928828</v>
      </c>
      <c r="AG64" s="6">
        <f t="shared" si="5"/>
        <v>0.45560748080996744</v>
      </c>
      <c r="AH64" s="6">
        <f t="shared" si="6"/>
        <v>2.178271059702094</v>
      </c>
      <c r="AI64" s="6">
        <f t="shared" si="7"/>
        <v>1.6299579296940057</v>
      </c>
      <c r="AJ64" s="6">
        <f t="shared" si="8"/>
        <v>1.6299579296940057</v>
      </c>
      <c r="AK64" s="6">
        <f t="shared" si="9"/>
        <v>5.8937943999000728</v>
      </c>
    </row>
    <row r="65" spans="2:37" x14ac:dyDescent="0.2">
      <c r="B65" s="24" t="s">
        <v>85</v>
      </c>
      <c r="C65" s="7" t="s">
        <v>86</v>
      </c>
      <c r="D65" t="s">
        <v>197</v>
      </c>
      <c r="E65" s="2">
        <v>355.55142857142857</v>
      </c>
      <c r="F65" s="2">
        <v>2133.3085714285712</v>
      </c>
      <c r="G65" s="2">
        <v>898.755</v>
      </c>
      <c r="H65" s="2">
        <v>898.755</v>
      </c>
      <c r="I65" s="5">
        <v>4286.37</v>
      </c>
      <c r="J65" s="2">
        <v>565.79999999999995</v>
      </c>
      <c r="K65" s="2">
        <v>452.64</v>
      </c>
      <c r="L65" s="2">
        <v>2576.1979833694068</v>
      </c>
      <c r="M65" s="2">
        <v>45.845401760000001</v>
      </c>
      <c r="N65" s="2">
        <v>109.5</v>
      </c>
      <c r="O65" s="2">
        <v>56.78</v>
      </c>
      <c r="P65" s="8">
        <v>18.38</v>
      </c>
      <c r="Q65" s="16" t="str">
        <f>VLOOKUP($C65,'Refugee GER'!$B$2:$G$73,4, FALSE)</f>
        <v>-</v>
      </c>
      <c r="R65" s="16" t="str">
        <f>VLOOKUP($C65,'Refugee GER'!$B$2:$G$73,5, FALSE)</f>
        <v>-</v>
      </c>
      <c r="S65" s="16" t="str">
        <f>VLOOKUP($C65,'Refugee GER'!$B$2:$G$73,6, FALSE)</f>
        <v>-</v>
      </c>
      <c r="T65" s="9">
        <v>80.892600999999999</v>
      </c>
      <c r="U65" s="2">
        <v>99.695857470000007</v>
      </c>
      <c r="V65" s="2">
        <v>99.579624809999999</v>
      </c>
      <c r="W65" s="8">
        <v>98.086684759999997</v>
      </c>
      <c r="X65" s="9">
        <v>100</v>
      </c>
      <c r="Y65" s="2">
        <v>99.604701390000002</v>
      </c>
      <c r="Z65" s="2">
        <v>100</v>
      </c>
      <c r="AA65" s="8">
        <v>100</v>
      </c>
      <c r="AB65" s="3">
        <f t="shared" si="0"/>
        <v>355.55142857142857</v>
      </c>
      <c r="AC65" s="3">
        <f t="shared" si="1"/>
        <v>2124.8756322987033</v>
      </c>
      <c r="AD65" s="3">
        <f t="shared" si="2"/>
        <v>898.755</v>
      </c>
      <c r="AE65" s="3">
        <f t="shared" si="3"/>
        <v>898.755</v>
      </c>
      <c r="AF65" s="3">
        <f t="shared" si="4"/>
        <v>4277.937060870132</v>
      </c>
      <c r="AG65" s="6">
        <f t="shared" si="5"/>
        <v>0.20117099828571428</v>
      </c>
      <c r="AH65" s="6">
        <f t="shared" si="6"/>
        <v>0.96180370620368505</v>
      </c>
      <c r="AI65" s="6">
        <f t="shared" si="7"/>
        <v>2.3153708185431712</v>
      </c>
      <c r="AJ65" s="6">
        <f t="shared" si="8"/>
        <v>2.3153708185431712</v>
      </c>
      <c r="AK65" s="6">
        <f t="shared" si="9"/>
        <v>5.7937163415757418</v>
      </c>
    </row>
    <row r="66" spans="2:37" x14ac:dyDescent="0.2">
      <c r="B66" s="24" t="s">
        <v>83</v>
      </c>
      <c r="C66" s="7" t="s">
        <v>84</v>
      </c>
      <c r="D66" t="s">
        <v>196</v>
      </c>
      <c r="E66" s="2">
        <v>190.6932718894009</v>
      </c>
      <c r="F66" s="2">
        <v>1144.1596313364055</v>
      </c>
      <c r="G66" s="2">
        <v>1454.3206451612903</v>
      </c>
      <c r="H66" s="2">
        <v>1454.3206451612903</v>
      </c>
      <c r="I66" s="5">
        <v>4243.4941935483866</v>
      </c>
      <c r="J66" s="2">
        <v>259.8576343837417</v>
      </c>
      <c r="K66" s="2">
        <v>207.88610750699334</v>
      </c>
      <c r="L66" s="2">
        <v>96.832785102046017</v>
      </c>
      <c r="M66" s="2">
        <v>29.193090439999999</v>
      </c>
      <c r="N66" s="2">
        <v>122.48</v>
      </c>
      <c r="O66" s="2">
        <v>79.61</v>
      </c>
      <c r="P66" s="8">
        <v>41.57</v>
      </c>
      <c r="Q66" s="16">
        <f>VLOOKUP($C66,'Refugee GER'!$B$2:$G$73,4, FALSE)</f>
        <v>0.6428571428571429</v>
      </c>
      <c r="R66" s="16">
        <f>VLOOKUP($C66,'Refugee GER'!$B$2:$G$73,5, FALSE)</f>
        <v>0.16167355371900827</v>
      </c>
      <c r="S66" s="16">
        <f>VLOOKUP($C66,'Refugee GER'!$B$2:$G$73,6, FALSE)</f>
        <v>8.2248115147361203E-2</v>
      </c>
      <c r="T66" s="9">
        <v>75.476369099999999</v>
      </c>
      <c r="U66" s="2">
        <v>91.624667500000001</v>
      </c>
      <c r="V66" s="2">
        <v>83.807425690000002</v>
      </c>
      <c r="W66" s="8">
        <v>66.141795439999996</v>
      </c>
      <c r="X66" s="9">
        <v>100</v>
      </c>
      <c r="Y66" s="2">
        <v>99.604701390000002</v>
      </c>
      <c r="Z66" s="2">
        <v>100</v>
      </c>
      <c r="AA66" s="8">
        <v>100</v>
      </c>
      <c r="AB66" s="3">
        <f t="shared" si="0"/>
        <v>190.6932718894009</v>
      </c>
      <c r="AC66" s="3">
        <f t="shared" si="1"/>
        <v>1139.6367842175516</v>
      </c>
      <c r="AD66" s="3">
        <f t="shared" si="2"/>
        <v>1454.3206451612903</v>
      </c>
      <c r="AE66" s="3">
        <f t="shared" si="3"/>
        <v>1454.3206451612903</v>
      </c>
      <c r="AF66" s="3">
        <f t="shared" si="4"/>
        <v>4238.9713464295328</v>
      </c>
      <c r="AG66" s="6">
        <f t="shared" si="5"/>
        <v>4.9553102526075386E-2</v>
      </c>
      <c r="AH66" s="6">
        <f t="shared" si="6"/>
        <v>0.23691465504277409</v>
      </c>
      <c r="AI66" s="6">
        <f t="shared" si="7"/>
        <v>0.14082591850237214</v>
      </c>
      <c r="AJ66" s="6">
        <f t="shared" si="8"/>
        <v>0.14082591850237214</v>
      </c>
      <c r="AK66" s="6">
        <f t="shared" si="9"/>
        <v>0.56811959457359373</v>
      </c>
    </row>
    <row r="67" spans="2:37" x14ac:dyDescent="0.2">
      <c r="B67" s="24" t="s">
        <v>81</v>
      </c>
      <c r="C67" s="7" t="s">
        <v>82</v>
      </c>
      <c r="D67" t="s">
        <v>198</v>
      </c>
      <c r="E67" s="2">
        <v>259.93953852970247</v>
      </c>
      <c r="F67" s="2">
        <v>1559.6372311782147</v>
      </c>
      <c r="G67" s="2">
        <v>1136.5882212603524</v>
      </c>
      <c r="H67" s="2">
        <v>1136.5882212603524</v>
      </c>
      <c r="I67" s="5">
        <v>4092.753212228622</v>
      </c>
      <c r="J67" s="2">
        <v>5545.9932020088681</v>
      </c>
      <c r="K67" s="2">
        <v>4436.7945616070938</v>
      </c>
      <c r="L67" s="2">
        <v>4126.9630243122219</v>
      </c>
      <c r="M67" s="2">
        <v>77.946608999999995</v>
      </c>
      <c r="N67" s="2">
        <v>107.24</v>
      </c>
      <c r="O67" s="2">
        <v>105.19</v>
      </c>
      <c r="P67" s="8">
        <v>82.74</v>
      </c>
      <c r="Q67" s="16" t="str">
        <f>VLOOKUP($C67,'Refugee GER'!$B$2:$G$73,4, FALSE)</f>
        <v>-</v>
      </c>
      <c r="R67" s="16" t="str">
        <f>VLOOKUP($C67,'Refugee GER'!$B$2:$G$73,5, FALSE)</f>
        <v>-</v>
      </c>
      <c r="S67" s="16" t="str">
        <f>VLOOKUP($C67,'Refugee GER'!$B$2:$G$73,6, FALSE)</f>
        <v>-</v>
      </c>
      <c r="T67" s="9">
        <v>100</v>
      </c>
      <c r="U67" s="2">
        <v>100</v>
      </c>
      <c r="V67" s="2">
        <v>100</v>
      </c>
      <c r="W67" s="8">
        <v>100</v>
      </c>
      <c r="X67" s="9">
        <v>100</v>
      </c>
      <c r="Y67" s="2">
        <v>99.604701390000002</v>
      </c>
      <c r="Z67" s="2">
        <v>100</v>
      </c>
      <c r="AA67" s="8">
        <v>100</v>
      </c>
      <c r="AB67" s="3">
        <f t="shared" si="0"/>
        <v>259.93953852970247</v>
      </c>
      <c r="AC67" s="3">
        <f t="shared" si="1"/>
        <v>1553.4720068823249</v>
      </c>
      <c r="AD67" s="3">
        <f t="shared" si="2"/>
        <v>1136.5882212603524</v>
      </c>
      <c r="AE67" s="3">
        <f t="shared" si="3"/>
        <v>1136.5882212603524</v>
      </c>
      <c r="AF67" s="3">
        <f t="shared" si="4"/>
        <v>4086.5879879327322</v>
      </c>
      <c r="AG67" s="6">
        <f t="shared" si="5"/>
        <v>1.4416229136190521</v>
      </c>
      <c r="AH67" s="6">
        <f t="shared" si="6"/>
        <v>6.8924361517443566</v>
      </c>
      <c r="AI67" s="6">
        <f t="shared" si="7"/>
        <v>4.6906575630102729</v>
      </c>
      <c r="AJ67" s="6">
        <f t="shared" si="8"/>
        <v>4.6906575630102729</v>
      </c>
      <c r="AK67" s="6">
        <f t="shared" si="9"/>
        <v>17.715374191383955</v>
      </c>
    </row>
    <row r="68" spans="2:37" x14ac:dyDescent="0.2">
      <c r="B68" s="24" t="s">
        <v>79</v>
      </c>
      <c r="C68" s="7" t="s">
        <v>80</v>
      </c>
      <c r="D68" t="s">
        <v>197</v>
      </c>
      <c r="E68" s="2">
        <v>334.95428571428567</v>
      </c>
      <c r="F68" s="2">
        <v>2009.725714285714</v>
      </c>
      <c r="G68" s="2">
        <v>846.69</v>
      </c>
      <c r="H68" s="2">
        <v>846.69</v>
      </c>
      <c r="I68" s="5">
        <v>4038.06</v>
      </c>
      <c r="J68" s="2">
        <v>612.5320606295943</v>
      </c>
      <c r="K68" s="2">
        <v>490.02564850367537</v>
      </c>
      <c r="L68" s="2">
        <v>357.34446684841242</v>
      </c>
      <c r="M68" s="2">
        <v>44.011631010000002</v>
      </c>
      <c r="N68" s="2">
        <v>94.34</v>
      </c>
      <c r="O68" s="2">
        <v>99.71</v>
      </c>
      <c r="P68" s="8">
        <v>66.42</v>
      </c>
      <c r="Q68" s="16" t="str">
        <f>VLOOKUP($C68,'Refugee GER'!$B$2:$G$73,4, FALSE)</f>
        <v>-</v>
      </c>
      <c r="R68" s="16" t="str">
        <f>VLOOKUP($C68,'Refugee GER'!$B$2:$G$73,5, FALSE)</f>
        <v>-</v>
      </c>
      <c r="S68" s="16" t="str">
        <f>VLOOKUP($C68,'Refugee GER'!$B$2:$G$73,6, FALSE)</f>
        <v>-</v>
      </c>
      <c r="T68" s="9">
        <v>100</v>
      </c>
      <c r="U68" s="2">
        <v>100</v>
      </c>
      <c r="V68" s="2">
        <v>100</v>
      </c>
      <c r="W68" s="8">
        <v>90.199999809999994</v>
      </c>
      <c r="X68" s="9">
        <v>100</v>
      </c>
      <c r="Y68" s="2">
        <v>99.604701390000002</v>
      </c>
      <c r="Z68" s="2">
        <v>100</v>
      </c>
      <c r="AA68" s="8">
        <v>100</v>
      </c>
      <c r="AB68" s="3">
        <f t="shared" si="0"/>
        <v>334.95428571428567</v>
      </c>
      <c r="AC68" s="3">
        <f t="shared" si="1"/>
        <v>2001.7812964723303</v>
      </c>
      <c r="AD68" s="3">
        <f t="shared" si="2"/>
        <v>846.69</v>
      </c>
      <c r="AE68" s="3">
        <f t="shared" si="3"/>
        <v>846.69</v>
      </c>
      <c r="AF68" s="3">
        <f t="shared" si="4"/>
        <v>4030.1155821866159</v>
      </c>
      <c r="AG68" s="6">
        <f t="shared" si="5"/>
        <v>0.20517023884528529</v>
      </c>
      <c r="AH68" s="6">
        <f t="shared" si="6"/>
        <v>0.98092417796638165</v>
      </c>
      <c r="AI68" s="6">
        <f t="shared" si="7"/>
        <v>0.30255998663588235</v>
      </c>
      <c r="AJ68" s="6">
        <f t="shared" si="8"/>
        <v>0.30255998663588235</v>
      </c>
      <c r="AK68" s="6">
        <f t="shared" si="9"/>
        <v>1.7912143900834316</v>
      </c>
    </row>
    <row r="69" spans="2:37" x14ac:dyDescent="0.2">
      <c r="B69" s="24" t="s">
        <v>77</v>
      </c>
      <c r="C69" s="7" t="s">
        <v>78</v>
      </c>
      <c r="D69" t="s">
        <v>197</v>
      </c>
      <c r="E69" s="2">
        <v>216.83008393584308</v>
      </c>
      <c r="F69" s="2">
        <v>1300.9805036150585</v>
      </c>
      <c r="G69" s="2">
        <v>675.77632344386268</v>
      </c>
      <c r="H69" s="2">
        <v>675.77632344386268</v>
      </c>
      <c r="I69" s="5">
        <v>2869.3632344386269</v>
      </c>
      <c r="J69" s="2">
        <v>177.55015104</v>
      </c>
      <c r="K69" s="2">
        <v>142.04012083199999</v>
      </c>
      <c r="L69" s="2">
        <v>202.81358534400002</v>
      </c>
      <c r="M69" s="2">
        <v>58.497810000000001</v>
      </c>
      <c r="N69" s="2">
        <v>95.91</v>
      </c>
      <c r="O69" s="2">
        <v>90.34</v>
      </c>
      <c r="P69" s="8">
        <v>56.754730000000002</v>
      </c>
      <c r="Q69" s="16" t="str">
        <f>VLOOKUP($C69,'Refugee GER'!$B$2:$G$73,4, FALSE)</f>
        <v>-</v>
      </c>
      <c r="R69" s="16" t="str">
        <f>VLOOKUP($C69,'Refugee GER'!$B$2:$G$73,5, FALSE)</f>
        <v>-</v>
      </c>
      <c r="S69" s="16" t="str">
        <f>VLOOKUP($C69,'Refugee GER'!$B$2:$G$73,6, FALSE)</f>
        <v>-</v>
      </c>
      <c r="T69" s="9">
        <v>98.135144400000001</v>
      </c>
      <c r="U69" s="2">
        <v>99.375930159999996</v>
      </c>
      <c r="V69" s="2">
        <v>85.967888939999995</v>
      </c>
      <c r="W69" s="8">
        <v>83.047277980000004</v>
      </c>
      <c r="X69" s="9">
        <v>100</v>
      </c>
      <c r="Y69" s="2">
        <v>99.604701390000002</v>
      </c>
      <c r="Z69" s="2">
        <v>100</v>
      </c>
      <c r="AA69" s="8">
        <v>100</v>
      </c>
      <c r="AB69" s="3">
        <f t="shared" ref="AB69:AB75" si="10">X69/100*E69</f>
        <v>216.83008393584308</v>
      </c>
      <c r="AC69" s="3">
        <f t="shared" ref="AC69:AC75" si="11">Y69/100*F69</f>
        <v>1295.8377457678973</v>
      </c>
      <c r="AD69" s="3">
        <f t="shared" ref="AD69:AD75" si="12">Z69/100*G69</f>
        <v>675.77632344386268</v>
      </c>
      <c r="AE69" s="3">
        <f t="shared" ref="AE69:AE75" si="13">AA69/100*H69</f>
        <v>675.77632344386268</v>
      </c>
      <c r="AF69" s="3">
        <f t="shared" ref="AF69:AF75" si="14">SUM(AB69:AE69)</f>
        <v>2864.2204765914657</v>
      </c>
      <c r="AG69" s="6">
        <f t="shared" ref="AG69:AG75" si="15">AB69*J69/1000000</f>
        <v>3.8498214152824818E-2</v>
      </c>
      <c r="AH69" s="6">
        <f t="shared" ref="AH69:AH75" si="16">AC69*K69/1000000</f>
        <v>0.18406094998753864</v>
      </c>
      <c r="AI69" s="6">
        <f t="shared" ref="AI69:AI75" si="17">AD69*L69/1000000</f>
        <v>0.13705661904823641</v>
      </c>
      <c r="AJ69" s="6">
        <f t="shared" ref="AJ69:AJ75" si="18">AE69*L69/1000000</f>
        <v>0.13705661904823641</v>
      </c>
      <c r="AK69" s="6">
        <f t="shared" ref="AK69:AK75" si="19">SUM(AG69:AJ69)</f>
        <v>0.49667240223683629</v>
      </c>
    </row>
    <row r="70" spans="2:37" x14ac:dyDescent="0.2">
      <c r="B70" s="24" t="s">
        <v>75</v>
      </c>
      <c r="C70" s="7" t="s">
        <v>76</v>
      </c>
      <c r="D70" t="s">
        <v>197</v>
      </c>
      <c r="E70" s="2">
        <v>180.7508079776278</v>
      </c>
      <c r="F70" s="2">
        <v>1084.5048478657668</v>
      </c>
      <c r="G70" s="2">
        <v>676.01172195522213</v>
      </c>
      <c r="H70" s="2">
        <v>676.01172195522213</v>
      </c>
      <c r="I70" s="5">
        <v>2617.2790997538386</v>
      </c>
      <c r="J70" s="2">
        <v>314.5936610127431</v>
      </c>
      <c r="K70" s="2">
        <v>251.67492881019444</v>
      </c>
      <c r="L70" s="2">
        <v>803.65647409391079</v>
      </c>
      <c r="M70" s="2">
        <v>116.1367188</v>
      </c>
      <c r="N70" s="2">
        <v>97.9</v>
      </c>
      <c r="O70" s="2">
        <v>84.05</v>
      </c>
      <c r="P70" s="8">
        <v>66.02</v>
      </c>
      <c r="Q70" s="16">
        <f>VLOOKUP($C70,'Refugee GER'!$B$2:$G$73,4, FALSE)</f>
        <v>1</v>
      </c>
      <c r="R70" s="16">
        <f>VLOOKUP($C70,'Refugee GER'!$B$2:$G$73,5, FALSE)</f>
        <v>0.99937343358395991</v>
      </c>
      <c r="S70" s="16">
        <f>VLOOKUP($C70,'Refugee GER'!$B$2:$G$73,6, FALSE)</f>
        <v>1</v>
      </c>
      <c r="T70" s="9">
        <v>100</v>
      </c>
      <c r="U70" s="2">
        <v>100</v>
      </c>
      <c r="V70" s="2">
        <v>100</v>
      </c>
      <c r="W70" s="8">
        <v>88</v>
      </c>
      <c r="X70" s="9">
        <v>100</v>
      </c>
      <c r="Y70" s="2">
        <v>99.604701390000002</v>
      </c>
      <c r="Z70" s="2">
        <v>100</v>
      </c>
      <c r="AA70" s="8">
        <v>100</v>
      </c>
      <c r="AB70" s="3">
        <f t="shared" si="10"/>
        <v>180.7508079776278</v>
      </c>
      <c r="AC70" s="3">
        <f t="shared" si="11"/>
        <v>1080.2178152767708</v>
      </c>
      <c r="AD70" s="3">
        <f t="shared" si="12"/>
        <v>676.01172195522213</v>
      </c>
      <c r="AE70" s="3">
        <f t="shared" si="13"/>
        <v>676.01172195522213</v>
      </c>
      <c r="AF70" s="3">
        <f t="shared" si="14"/>
        <v>2612.9920671648429</v>
      </c>
      <c r="AG70" s="6">
        <f t="shared" si="15"/>
        <v>5.6863058412693256E-2</v>
      </c>
      <c r="AH70" s="6">
        <f t="shared" si="16"/>
        <v>0.27186374175928502</v>
      </c>
      <c r="AI70" s="6">
        <f t="shared" si="17"/>
        <v>0.54328119691268706</v>
      </c>
      <c r="AJ70" s="6">
        <f t="shared" si="18"/>
        <v>0.54328119691268706</v>
      </c>
      <c r="AK70" s="6">
        <f t="shared" si="19"/>
        <v>1.4152891939973524</v>
      </c>
    </row>
    <row r="71" spans="2:37" x14ac:dyDescent="0.2">
      <c r="B71" s="24" t="s">
        <v>73</v>
      </c>
      <c r="C71" s="7" t="s">
        <v>74</v>
      </c>
      <c r="D71" t="s">
        <v>197</v>
      </c>
      <c r="E71" s="2">
        <v>197.58017581085176</v>
      </c>
      <c r="F71" s="2">
        <v>1185.4810548651105</v>
      </c>
      <c r="G71" s="2">
        <v>611.68657168839047</v>
      </c>
      <c r="H71" s="2">
        <v>611.68657168839047</v>
      </c>
      <c r="I71" s="5">
        <v>2606.4343740527429</v>
      </c>
      <c r="J71" s="2">
        <v>985.71</v>
      </c>
      <c r="K71" s="2">
        <v>788.56799999999998</v>
      </c>
      <c r="L71" s="2">
        <v>3474.5407289444297</v>
      </c>
      <c r="M71" s="2">
        <v>58.497810000000001</v>
      </c>
      <c r="N71" s="2">
        <v>105.04</v>
      </c>
      <c r="O71" s="2">
        <v>104.41</v>
      </c>
      <c r="P71" s="8">
        <v>56.754730000000002</v>
      </c>
      <c r="Q71" s="16" t="str">
        <f>VLOOKUP($C71,'Refugee GER'!$B$2:$G$73,4, FALSE)</f>
        <v>-</v>
      </c>
      <c r="R71" s="16">
        <f>VLOOKUP($C71,'Refugee GER'!$B$2:$G$73,5, FALSE)</f>
        <v>0.37784522003034904</v>
      </c>
      <c r="S71" s="16">
        <f>VLOOKUP($C71,'Refugee GER'!$B$2:$G$73,6, FALSE)</f>
        <v>0.1122754491017964</v>
      </c>
      <c r="T71" s="9">
        <v>93.712125799999995</v>
      </c>
      <c r="U71" s="2">
        <v>97.506582100000003</v>
      </c>
      <c r="V71" s="2">
        <v>92.73900184</v>
      </c>
      <c r="W71" s="8">
        <v>78.329542630000006</v>
      </c>
      <c r="X71" s="9">
        <v>100</v>
      </c>
      <c r="Y71" s="2">
        <v>99.604701390000002</v>
      </c>
      <c r="Z71" s="2">
        <v>100</v>
      </c>
      <c r="AA71" s="8">
        <v>100</v>
      </c>
      <c r="AB71" s="3">
        <f t="shared" si="10"/>
        <v>197.58017581085176</v>
      </c>
      <c r="AC71" s="3">
        <f t="shared" si="11"/>
        <v>1180.7948647334156</v>
      </c>
      <c r="AD71" s="3">
        <f t="shared" si="12"/>
        <v>611.68657168839047</v>
      </c>
      <c r="AE71" s="3">
        <f t="shared" si="13"/>
        <v>611.68657168839047</v>
      </c>
      <c r="AF71" s="3">
        <f t="shared" si="14"/>
        <v>2601.7481839210482</v>
      </c>
      <c r="AG71" s="6">
        <f t="shared" si="15"/>
        <v>0.1947567550985147</v>
      </c>
      <c r="AH71" s="6">
        <f t="shared" si="16"/>
        <v>0.93113704489310001</v>
      </c>
      <c r="AI71" s="6">
        <f t="shared" si="17"/>
        <v>2.1253299066796991</v>
      </c>
      <c r="AJ71" s="6">
        <f t="shared" si="18"/>
        <v>2.1253299066796991</v>
      </c>
      <c r="AK71" s="6">
        <f t="shared" si="19"/>
        <v>5.376553613351013</v>
      </c>
    </row>
    <row r="72" spans="2:37" x14ac:dyDescent="0.2">
      <c r="B72" s="24" t="s">
        <v>71</v>
      </c>
      <c r="C72" s="7" t="s">
        <v>72</v>
      </c>
      <c r="D72" t="s">
        <v>198</v>
      </c>
      <c r="E72" s="2">
        <v>201.02003354169841</v>
      </c>
      <c r="F72" s="2">
        <v>1206.1202012501906</v>
      </c>
      <c r="G72" s="2">
        <v>485.43265741728925</v>
      </c>
      <c r="H72" s="2">
        <v>485.43265741728925</v>
      </c>
      <c r="I72" s="5">
        <v>2378.0055496264677</v>
      </c>
      <c r="J72" s="2">
        <v>311.19096760331161</v>
      </c>
      <c r="K72" s="2">
        <v>248.95277408264926</v>
      </c>
      <c r="L72" s="2">
        <v>1018.7235000000001</v>
      </c>
      <c r="M72" s="2">
        <v>36.506999970000003</v>
      </c>
      <c r="N72" s="2">
        <v>132.99</v>
      </c>
      <c r="O72" s="2">
        <v>116.82</v>
      </c>
      <c r="P72" s="8">
        <v>87.355189999999993</v>
      </c>
      <c r="Q72" s="16" t="str">
        <f>VLOOKUP($C72,'Refugee GER'!$B$2:$G$73,4, FALSE)</f>
        <v>-</v>
      </c>
      <c r="R72" s="16" t="str">
        <f>VLOOKUP($C72,'Refugee GER'!$B$2:$G$73,5, FALSE)</f>
        <v>-</v>
      </c>
      <c r="S72" s="16" t="str">
        <f>VLOOKUP($C72,'Refugee GER'!$B$2:$G$73,6, FALSE)</f>
        <v>-</v>
      </c>
      <c r="T72" s="9">
        <v>87.900001500000002</v>
      </c>
      <c r="U72" s="2">
        <v>99</v>
      </c>
      <c r="V72" s="2">
        <v>99</v>
      </c>
      <c r="W72" s="8">
        <v>90</v>
      </c>
      <c r="X72" s="9">
        <v>100</v>
      </c>
      <c r="Y72" s="2">
        <v>99.604701390000002</v>
      </c>
      <c r="Z72" s="2">
        <v>100</v>
      </c>
      <c r="AA72" s="8">
        <v>100</v>
      </c>
      <c r="AB72" s="3">
        <f t="shared" si="10"/>
        <v>201.02003354169841</v>
      </c>
      <c r="AC72" s="3">
        <f t="shared" si="11"/>
        <v>1201.3524248597193</v>
      </c>
      <c r="AD72" s="3">
        <f t="shared" si="12"/>
        <v>485.43265741728925</v>
      </c>
      <c r="AE72" s="3">
        <f t="shared" si="13"/>
        <v>485.43265741728925</v>
      </c>
      <c r="AF72" s="3">
        <f t="shared" si="14"/>
        <v>2373.2377732359964</v>
      </c>
      <c r="AG72" s="6">
        <f t="shared" si="15"/>
        <v>6.2555618745491273E-2</v>
      </c>
      <c r="AH72" s="6">
        <f t="shared" si="16"/>
        <v>0.29908001881974461</v>
      </c>
      <c r="AI72" s="6">
        <f t="shared" si="17"/>
        <v>0.49452165577844187</v>
      </c>
      <c r="AJ72" s="6">
        <f t="shared" si="18"/>
        <v>0.49452165577844187</v>
      </c>
      <c r="AK72" s="6">
        <f t="shared" si="19"/>
        <v>1.3506789491221196</v>
      </c>
    </row>
    <row r="73" spans="2:37" x14ac:dyDescent="0.2">
      <c r="B73" s="24" t="s">
        <v>69</v>
      </c>
      <c r="C73" s="7" t="s">
        <v>70</v>
      </c>
      <c r="D73" t="s">
        <v>198</v>
      </c>
      <c r="E73" s="2">
        <v>188.55107672092853</v>
      </c>
      <c r="F73" s="2">
        <v>1131.3064603255712</v>
      </c>
      <c r="G73" s="2">
        <v>501.90853346959625</v>
      </c>
      <c r="H73" s="2">
        <v>501.90853346959625</v>
      </c>
      <c r="I73" s="5">
        <v>2323.6746039856921</v>
      </c>
      <c r="J73" s="2">
        <v>1068.3754446112528</v>
      </c>
      <c r="K73" s="2">
        <v>854.70035568900221</v>
      </c>
      <c r="L73" s="2">
        <v>1033.5438887119119</v>
      </c>
      <c r="M73" s="2">
        <v>62.34365845</v>
      </c>
      <c r="N73" s="2">
        <v>100.65</v>
      </c>
      <c r="O73" s="2">
        <v>100.76</v>
      </c>
      <c r="P73" s="8">
        <v>97.09</v>
      </c>
      <c r="Q73" s="16">
        <f>VLOOKUP($C73,'Refugee GER'!$B$2:$G$73,4, FALSE)</f>
        <v>5.007587253414264E-2</v>
      </c>
      <c r="R73" s="16">
        <f>VLOOKUP($C73,'Refugee GER'!$B$2:$G$73,5, FALSE)</f>
        <v>0.10435571687840291</v>
      </c>
      <c r="S73" s="16">
        <f>VLOOKUP($C73,'Refugee GER'!$B$2:$G$73,6, FALSE)</f>
        <v>2.2727272727272728E-2</v>
      </c>
      <c r="T73" s="9">
        <v>100</v>
      </c>
      <c r="U73" s="2">
        <v>99.459999980000006</v>
      </c>
      <c r="V73" s="2">
        <v>93.711992260000002</v>
      </c>
      <c r="W73" s="8">
        <v>79.253681180000001</v>
      </c>
      <c r="X73" s="9">
        <v>100</v>
      </c>
      <c r="Y73" s="2">
        <v>99.604701390000002</v>
      </c>
      <c r="Z73" s="2">
        <v>100</v>
      </c>
      <c r="AA73" s="8">
        <v>100</v>
      </c>
      <c r="AB73" s="3">
        <f t="shared" si="10"/>
        <v>188.55107672092853</v>
      </c>
      <c r="AC73" s="3">
        <f t="shared" si="11"/>
        <v>1126.834421613064</v>
      </c>
      <c r="AD73" s="3">
        <f t="shared" si="12"/>
        <v>501.90853346959625</v>
      </c>
      <c r="AE73" s="3">
        <f t="shared" si="13"/>
        <v>501.90853346959625</v>
      </c>
      <c r="AF73" s="3">
        <f t="shared" si="14"/>
        <v>2319.202565273185</v>
      </c>
      <c r="AG73" s="6">
        <f t="shared" si="15"/>
        <v>0.20144334042365247</v>
      </c>
      <c r="AH73" s="6">
        <f t="shared" si="16"/>
        <v>0.96310578095529698</v>
      </c>
      <c r="AI73" s="6">
        <f t="shared" si="17"/>
        <v>0.51874449745985929</v>
      </c>
      <c r="AJ73" s="6">
        <f t="shared" si="18"/>
        <v>0.51874449745985929</v>
      </c>
      <c r="AK73" s="6">
        <f t="shared" si="19"/>
        <v>2.202038116298668</v>
      </c>
    </row>
    <row r="74" spans="2:37" x14ac:dyDescent="0.2">
      <c r="B74" s="24" t="s">
        <v>67</v>
      </c>
      <c r="C74" s="7" t="s">
        <v>68</v>
      </c>
      <c r="D74" t="s">
        <v>197</v>
      </c>
      <c r="E74" s="2">
        <v>125.6961875547765</v>
      </c>
      <c r="F74" s="2">
        <v>754.17712532865903</v>
      </c>
      <c r="G74" s="2">
        <v>422.29887525562373</v>
      </c>
      <c r="H74" s="2">
        <v>422.29887525562373</v>
      </c>
      <c r="I74" s="5">
        <v>1724.4710633946829</v>
      </c>
      <c r="J74" s="2">
        <v>233.96687965137346</v>
      </c>
      <c r="K74" s="2">
        <v>187.17350372109877</v>
      </c>
      <c r="L74" s="2">
        <v>150.57778704394445</v>
      </c>
      <c r="M74" s="2">
        <v>93.698028559999997</v>
      </c>
      <c r="N74" s="2">
        <v>122.98</v>
      </c>
      <c r="O74" s="2">
        <v>105.19</v>
      </c>
      <c r="P74" s="8">
        <v>78.180000000000007</v>
      </c>
      <c r="Q74" s="16" t="str">
        <f>VLOOKUP($C74,'Refugee GER'!$B$2:$G$73,4, FALSE)</f>
        <v>-</v>
      </c>
      <c r="R74" s="16">
        <f>VLOOKUP($C74,'Refugee GER'!$B$2:$G$73,5, FALSE)</f>
        <v>0.95410827150316024</v>
      </c>
      <c r="S74" s="16">
        <f>VLOOKUP($C74,'Refugee GER'!$B$2:$G$73,6, FALSE)</f>
        <v>0.89447592067988668</v>
      </c>
      <c r="T74" s="9">
        <v>99</v>
      </c>
      <c r="U74" s="2">
        <v>100</v>
      </c>
      <c r="V74" s="2">
        <v>100</v>
      </c>
      <c r="W74" s="8">
        <v>75</v>
      </c>
      <c r="X74" s="9">
        <v>100</v>
      </c>
      <c r="Y74" s="2">
        <v>99.604701390000002</v>
      </c>
      <c r="Z74" s="2">
        <v>100</v>
      </c>
      <c r="AA74" s="8">
        <v>100</v>
      </c>
      <c r="AB74" s="3">
        <f t="shared" si="10"/>
        <v>125.6961875547765</v>
      </c>
      <c r="AC74" s="3">
        <f t="shared" si="11"/>
        <v>751.19587363529695</v>
      </c>
      <c r="AD74" s="3">
        <f t="shared" si="12"/>
        <v>422.29887525562373</v>
      </c>
      <c r="AE74" s="3">
        <f t="shared" si="13"/>
        <v>422.29887525562373</v>
      </c>
      <c r="AF74" s="3">
        <f t="shared" si="14"/>
        <v>1721.4898117013208</v>
      </c>
      <c r="AG74" s="6">
        <f t="shared" si="15"/>
        <v>2.9408744786264859E-2</v>
      </c>
      <c r="AH74" s="6">
        <f t="shared" si="16"/>
        <v>0.14060396364915032</v>
      </c>
      <c r="AI74" s="6">
        <f t="shared" si="17"/>
        <v>6.3588830107138575E-2</v>
      </c>
      <c r="AJ74" s="6">
        <f t="shared" si="18"/>
        <v>6.3588830107138575E-2</v>
      </c>
      <c r="AK74" s="6">
        <f t="shared" si="19"/>
        <v>0.29719036864969228</v>
      </c>
    </row>
    <row r="75" spans="2:37" ht="17" thickBot="1" x14ac:dyDescent="0.25">
      <c r="B75" s="25" t="s">
        <v>65</v>
      </c>
      <c r="C75" s="26" t="s">
        <v>66</v>
      </c>
      <c r="D75" s="27" t="s">
        <v>198</v>
      </c>
      <c r="E75" s="28">
        <v>103.10302434226702</v>
      </c>
      <c r="F75" s="28">
        <v>618.61814605360212</v>
      </c>
      <c r="G75" s="28">
        <v>254.42493784662457</v>
      </c>
      <c r="H75" s="28">
        <v>254.42493784662457</v>
      </c>
      <c r="I75" s="29">
        <v>1230.5710460891182</v>
      </c>
      <c r="J75" s="28">
        <v>1309.3110614240975</v>
      </c>
      <c r="K75" s="28">
        <v>1047.4488491392781</v>
      </c>
      <c r="L75" s="28">
        <v>1185.4491630485286</v>
      </c>
      <c r="M75" s="28">
        <v>51.09172058</v>
      </c>
      <c r="N75" s="28">
        <v>93.23</v>
      </c>
      <c r="O75" s="28">
        <v>81.239999999999995</v>
      </c>
      <c r="P75" s="30">
        <v>82.8</v>
      </c>
      <c r="Q75" s="31" t="str">
        <f>VLOOKUP($C75,'Refugee GER'!$B$2:$G$73,4, FALSE)</f>
        <v>-</v>
      </c>
      <c r="R75" s="31" t="str">
        <f>VLOOKUP($C75,'Refugee GER'!$B$2:$G$73,5, FALSE)</f>
        <v>-</v>
      </c>
      <c r="S75" s="31" t="str">
        <f>VLOOKUP($C75,'Refugee GER'!$B$2:$G$73,6, FALSE)</f>
        <v>-</v>
      </c>
      <c r="T75" s="27">
        <v>98.359446500000004</v>
      </c>
      <c r="U75" s="28">
        <v>100</v>
      </c>
      <c r="V75" s="28">
        <v>97.4000001</v>
      </c>
      <c r="W75" s="30">
        <v>78.600000379999997</v>
      </c>
      <c r="X75" s="9">
        <v>100</v>
      </c>
      <c r="Y75" s="2">
        <v>99.604701390000002</v>
      </c>
      <c r="Z75" s="2">
        <v>100</v>
      </c>
      <c r="AA75" s="8">
        <v>100</v>
      </c>
      <c r="AB75" s="3">
        <f t="shared" si="10"/>
        <v>103.10302434226702</v>
      </c>
      <c r="AC75" s="3">
        <f t="shared" si="11"/>
        <v>616.17275712104447</v>
      </c>
      <c r="AD75" s="3">
        <f t="shared" si="12"/>
        <v>254.42493784662457</v>
      </c>
      <c r="AE75" s="3">
        <f t="shared" si="13"/>
        <v>254.42493784662457</v>
      </c>
      <c r="AF75" s="3">
        <f t="shared" si="14"/>
        <v>1228.1256571565605</v>
      </c>
      <c r="AG75" s="6">
        <f t="shared" si="15"/>
        <v>0.1349939302376082</v>
      </c>
      <c r="AH75" s="6">
        <f t="shared" si="16"/>
        <v>0.64540944531741384</v>
      </c>
      <c r="AI75" s="6">
        <f t="shared" si="17"/>
        <v>0.30160782962895499</v>
      </c>
      <c r="AJ75" s="6">
        <f t="shared" si="18"/>
        <v>0.30160782962895499</v>
      </c>
      <c r="AK75" s="6">
        <f t="shared" si="19"/>
        <v>1.383619034812932</v>
      </c>
    </row>
    <row r="76" spans="2:37" x14ac:dyDescent="0.2">
      <c r="E76" s="2">
        <f>SUM(E4:E75)</f>
        <v>764222.71643395245</v>
      </c>
      <c r="F76" s="2">
        <f t="shared" ref="F76:I76" si="20">SUM(F4:F75)</f>
        <v>4585336.2986037135</v>
      </c>
      <c r="G76" s="2">
        <f t="shared" si="20"/>
        <v>1897453.1228789445</v>
      </c>
      <c r="H76" s="2">
        <f t="shared" si="20"/>
        <v>1897453.1228789445</v>
      </c>
      <c r="I76" s="2">
        <f t="shared" si="20"/>
        <v>9144465.2607955523</v>
      </c>
      <c r="AB76" s="1">
        <f>SUM(AB4:AB75)</f>
        <v>764222.71643395245</v>
      </c>
      <c r="AC76" s="1">
        <f t="shared" ref="AC76:AK76" si="21">SUM(AC4:AC75)</f>
        <v>4567210.5279515078</v>
      </c>
      <c r="AD76" s="1">
        <f t="shared" si="21"/>
        <v>1897453.1228789445</v>
      </c>
      <c r="AE76" s="1">
        <f t="shared" si="21"/>
        <v>1897453.1228789445</v>
      </c>
      <c r="AF76" s="1">
        <f t="shared" si="21"/>
        <v>9126339.4901433531</v>
      </c>
      <c r="AG76" s="1">
        <f t="shared" si="21"/>
        <v>843.27867685148397</v>
      </c>
      <c r="AH76" s="1">
        <f t="shared" si="21"/>
        <v>4031.736998224625</v>
      </c>
      <c r="AI76" s="1">
        <f t="shared" si="21"/>
        <v>2202.7802872903403</v>
      </c>
      <c r="AJ76" s="1">
        <f t="shared" si="21"/>
        <v>2202.7802872903403</v>
      </c>
      <c r="AK76" s="1">
        <f t="shared" si="21"/>
        <v>9280.5762496567786</v>
      </c>
    </row>
  </sheetData>
  <sortState xmlns:xlrd2="http://schemas.microsoft.com/office/spreadsheetml/2017/richdata2" ref="B4:W75">
    <sortCondition descending="1" ref="I4:I75"/>
  </sortState>
  <mergeCells count="11">
    <mergeCell ref="AG2:AK2"/>
    <mergeCell ref="B2:B3"/>
    <mergeCell ref="C2:C3"/>
    <mergeCell ref="E2:I2"/>
    <mergeCell ref="J2:L2"/>
    <mergeCell ref="M2:P2"/>
    <mergeCell ref="T2:W2"/>
    <mergeCell ref="X2:AA2"/>
    <mergeCell ref="AB2:AF2"/>
    <mergeCell ref="D2:D3"/>
    <mergeCell ref="Q2:S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FC0E5-9035-DB48-8FA3-C9A4C4867C04}">
  <dimension ref="A1:N73"/>
  <sheetViews>
    <sheetView workbookViewId="0">
      <selection activeCell="I9" sqref="I9"/>
    </sheetView>
  </sheetViews>
  <sheetFormatPr baseColWidth="10" defaultRowHeight="16" x14ac:dyDescent="0.2"/>
  <cols>
    <col min="11" max="11" width="21.83203125" bestFit="1" customWidth="1"/>
    <col min="12" max="12" width="25.33203125" bestFit="1" customWidth="1"/>
    <col min="13" max="13" width="22" bestFit="1" customWidth="1"/>
    <col min="14" max="14" width="24" bestFit="1" customWidth="1"/>
  </cols>
  <sheetData>
    <row r="1" spans="1:14" x14ac:dyDescent="0.2">
      <c r="A1" t="s">
        <v>53</v>
      </c>
      <c r="B1" t="s">
        <v>54</v>
      </c>
      <c r="C1" t="s">
        <v>55</v>
      </c>
      <c r="D1" t="s">
        <v>56</v>
      </c>
      <c r="E1" t="s">
        <v>209</v>
      </c>
      <c r="F1" t="s">
        <v>210</v>
      </c>
      <c r="G1" t="s">
        <v>211</v>
      </c>
      <c r="K1" s="61" t="s">
        <v>243</v>
      </c>
      <c r="L1" t="s">
        <v>245</v>
      </c>
      <c r="M1" t="s">
        <v>246</v>
      </c>
      <c r="N1" t="s">
        <v>247</v>
      </c>
    </row>
    <row r="2" spans="1:14" x14ac:dyDescent="0.2">
      <c r="A2" t="s">
        <v>5</v>
      </c>
      <c r="B2" t="s">
        <v>6</v>
      </c>
      <c r="C2" t="s">
        <v>4</v>
      </c>
      <c r="D2" t="s">
        <v>7</v>
      </c>
      <c r="E2" s="18">
        <f>VLOOKUP($B2,[3]Sheet1!$B$7:$K$246, 4, FALSE)</f>
        <v>0.34337711609630517</v>
      </c>
      <c r="F2" s="18">
        <f>VLOOKUP($B2,[3]Sheet1!$B$7:$K$246, 7, FALSE)</f>
        <v>0.75128249342587405</v>
      </c>
      <c r="G2" s="18">
        <f>VLOOKUP($B2,[3]Sheet1!$B$7:$K$246, 10, FALSE)</f>
        <v>0.63962739755810871</v>
      </c>
      <c r="K2" s="62" t="s">
        <v>36</v>
      </c>
      <c r="L2">
        <v>0.32660573452770941</v>
      </c>
      <c r="M2">
        <v>0.59828579987712815</v>
      </c>
      <c r="N2">
        <v>0.26581560118188796</v>
      </c>
    </row>
    <row r="3" spans="1:14" x14ac:dyDescent="0.2">
      <c r="A3" t="s">
        <v>169</v>
      </c>
      <c r="B3" t="s">
        <v>19</v>
      </c>
      <c r="C3" t="s">
        <v>18</v>
      </c>
      <c r="D3" t="s">
        <v>20</v>
      </c>
      <c r="E3" s="18" t="str">
        <f>VLOOKUP($B3,[3]Sheet1!$B$7:$K$246, 4, FALSE)</f>
        <v>-</v>
      </c>
      <c r="F3" s="18">
        <f>VLOOKUP($B3,[3]Sheet1!$B$7:$K$246, 7, FALSE)</f>
        <v>0.88</v>
      </c>
      <c r="G3" s="18">
        <f>VLOOKUP($B3,[3]Sheet1!$B$7:$K$246, 10, FALSE)</f>
        <v>0.73</v>
      </c>
      <c r="K3" s="62" t="s">
        <v>20</v>
      </c>
      <c r="L3">
        <v>0.40243924162763389</v>
      </c>
      <c r="M3">
        <v>0.65179214313516221</v>
      </c>
      <c r="N3">
        <v>0.3484702640783065</v>
      </c>
    </row>
    <row r="4" spans="1:14" x14ac:dyDescent="0.2">
      <c r="A4" t="s">
        <v>34</v>
      </c>
      <c r="B4" t="s">
        <v>35</v>
      </c>
      <c r="C4" t="s">
        <v>33</v>
      </c>
      <c r="D4" t="s">
        <v>36</v>
      </c>
      <c r="E4" s="18">
        <f>VLOOKUP($B4,[3]Sheet1!$B$7:$K$246, 4, FALSE)</f>
        <v>0.39496804155794413</v>
      </c>
      <c r="F4" s="18">
        <f>VLOOKUP($B4,[3]Sheet1!$B$7:$K$246, 7, FALSE)</f>
        <v>0.86380566191410613</v>
      </c>
      <c r="G4" s="18">
        <f>VLOOKUP($B4,[3]Sheet1!$B$7:$K$246, 10, FALSE)</f>
        <v>9.5342736785770751E-2</v>
      </c>
      <c r="K4" s="62" t="s">
        <v>7</v>
      </c>
      <c r="L4">
        <v>0.12203477872717432</v>
      </c>
      <c r="M4">
        <v>0.59105034207155016</v>
      </c>
      <c r="N4">
        <v>0.44932944405791697</v>
      </c>
    </row>
    <row r="5" spans="1:14" x14ac:dyDescent="0.2">
      <c r="A5" t="s">
        <v>28</v>
      </c>
      <c r="B5" t="s">
        <v>29</v>
      </c>
      <c r="C5" t="s">
        <v>27</v>
      </c>
      <c r="D5" t="s">
        <v>20</v>
      </c>
      <c r="E5" s="18">
        <f>VLOOKUP($B5,[3]Sheet1!$B$7:$K$246, 4, FALSE)</f>
        <v>0.11217083436744989</v>
      </c>
      <c r="F5" s="18">
        <f>VLOOKUP($B5,[3]Sheet1!$B$7:$K$246, 7, FALSE)</f>
        <v>0.10205199239764198</v>
      </c>
      <c r="G5" s="18">
        <f>VLOOKUP($B5,[3]Sheet1!$B$7:$K$246, 10, FALSE)</f>
        <v>3.2401555795446534E-2</v>
      </c>
      <c r="K5" s="62" t="s">
        <v>244</v>
      </c>
      <c r="L5">
        <v>0.3356096384433927</v>
      </c>
      <c r="M5">
        <v>0.61925337791577817</v>
      </c>
      <c r="N5">
        <v>0.34313422999407173</v>
      </c>
    </row>
    <row r="6" spans="1:14" x14ac:dyDescent="0.2">
      <c r="A6" t="s">
        <v>12</v>
      </c>
      <c r="B6" t="s">
        <v>13</v>
      </c>
      <c r="C6" t="s">
        <v>11</v>
      </c>
      <c r="D6" t="s">
        <v>7</v>
      </c>
      <c r="E6" s="18" t="str">
        <f>VLOOKUP($B6,[3]Sheet1!$B$7:$K$246, 4, FALSE)</f>
        <v>-</v>
      </c>
      <c r="F6" s="18">
        <f>VLOOKUP($B6,[3]Sheet1!$B$7:$K$246, 7, FALSE)</f>
        <v>0.53016468861574062</v>
      </c>
      <c r="G6" s="18">
        <f>VLOOKUP($B6,[3]Sheet1!$B$7:$K$246, 10, FALSE)</f>
        <v>0.22220363004433227</v>
      </c>
    </row>
    <row r="7" spans="1:14" x14ac:dyDescent="0.2">
      <c r="A7" t="s">
        <v>14</v>
      </c>
      <c r="B7" t="s">
        <v>15</v>
      </c>
      <c r="C7" t="s">
        <v>11</v>
      </c>
      <c r="D7" t="s">
        <v>7</v>
      </c>
      <c r="E7" s="18" t="str">
        <f>VLOOKUP($B7,[3]Sheet1!$B$7:$K$246, 4, FALSE)</f>
        <v>-</v>
      </c>
      <c r="F7" s="18">
        <f>VLOOKUP($B7,[3]Sheet1!$B$7:$K$246, 7, FALSE)</f>
        <v>0.42018735148381381</v>
      </c>
      <c r="G7" s="18">
        <f>VLOOKUP($B7,[3]Sheet1!$B$7:$K$246, 10, FALSE)</f>
        <v>0.30591970816063951</v>
      </c>
    </row>
    <row r="8" spans="1:14" x14ac:dyDescent="0.2">
      <c r="A8" t="s">
        <v>37</v>
      </c>
      <c r="B8" t="s">
        <v>38</v>
      </c>
      <c r="C8" t="s">
        <v>33</v>
      </c>
      <c r="D8" t="s">
        <v>36</v>
      </c>
      <c r="E8" s="18">
        <f>VLOOKUP($B8,[3]Sheet1!$B$7:$K$246, 4, FALSE)</f>
        <v>3.2748020008336806E-2</v>
      </c>
      <c r="F8" s="18">
        <f>VLOOKUP($B8,[3]Sheet1!$B$7:$K$246, 7, FALSE)</f>
        <v>0.30468947551730224</v>
      </c>
      <c r="G8" s="18">
        <f>VLOOKUP($B8,[3]Sheet1!$B$7:$K$246, 10, FALSE)</f>
        <v>6.8999704927707295E-2</v>
      </c>
    </row>
    <row r="9" spans="1:14" x14ac:dyDescent="0.2">
      <c r="A9" t="s">
        <v>9</v>
      </c>
      <c r="B9" t="s">
        <v>10</v>
      </c>
      <c r="C9" t="s">
        <v>4</v>
      </c>
      <c r="D9" t="s">
        <v>7</v>
      </c>
      <c r="E9" s="18" t="s">
        <v>248</v>
      </c>
      <c r="F9" s="18" t="s">
        <v>248</v>
      </c>
      <c r="G9" s="18" t="s">
        <v>248</v>
      </c>
    </row>
    <row r="10" spans="1:14" x14ac:dyDescent="0.2">
      <c r="A10" t="s">
        <v>39</v>
      </c>
      <c r="B10" t="s">
        <v>40</v>
      </c>
      <c r="C10" t="s">
        <v>33</v>
      </c>
      <c r="D10" t="s">
        <v>36</v>
      </c>
      <c r="E10" s="18">
        <f>VLOOKUP($B10,[3]Sheet1!$B$7:$K$246, 4, FALSE)</f>
        <v>0.40753682309865746</v>
      </c>
      <c r="F10" s="18">
        <f>VLOOKUP($B10,[3]Sheet1!$B$7:$K$246, 7, FALSE)</f>
        <v>0.53575945048446527</v>
      </c>
      <c r="G10" s="18">
        <f>VLOOKUP($B10,[3]Sheet1!$B$7:$K$246, 10, FALSE)</f>
        <v>0.19805082920525521</v>
      </c>
      <c r="L10" t="s">
        <v>229</v>
      </c>
      <c r="M10" t="s">
        <v>177</v>
      </c>
      <c r="N10" t="s">
        <v>180</v>
      </c>
    </row>
    <row r="11" spans="1:14" x14ac:dyDescent="0.2">
      <c r="A11" t="s">
        <v>30</v>
      </c>
      <c r="B11" t="s">
        <v>31</v>
      </c>
      <c r="C11" t="s">
        <v>27</v>
      </c>
      <c r="D11" t="s">
        <v>20</v>
      </c>
      <c r="E11" s="18">
        <f>VLOOKUP($B11,[3]Sheet1!$B$7:$K$246, 4, FALSE)</f>
        <v>0.45280469042371824</v>
      </c>
      <c r="F11" s="18">
        <f>VLOOKUP($B11,[3]Sheet1!$B$7:$K$246, 7, FALSE)</f>
        <v>0.28483199340342197</v>
      </c>
      <c r="G11" s="18">
        <f>VLOOKUP($B11,[3]Sheet1!$B$7:$K$246, 10, FALSE)</f>
        <v>5.9634212194492053E-3</v>
      </c>
      <c r="K11" t="s">
        <v>196</v>
      </c>
      <c r="L11" s="18">
        <f>GETPIVOTDATA("Average of Pre-Primary_GER",$K$1,"incomegroup","LOW INCOME")</f>
        <v>0.32660573452770941</v>
      </c>
      <c r="M11" s="18">
        <f>GETPIVOTDATA("Average of Primary_GER",$K$1,"incomegroup","LOW INCOME")</f>
        <v>0.59828579987712815</v>
      </c>
      <c r="N11" s="18">
        <f>GETPIVOTDATA("Average of Secondary_GER",$K$1,"incomegroup","LOW INCOME")</f>
        <v>0.26581560118188796</v>
      </c>
    </row>
    <row r="12" spans="1:14" x14ac:dyDescent="0.2">
      <c r="A12" t="s">
        <v>21</v>
      </c>
      <c r="B12" t="s">
        <v>22</v>
      </c>
      <c r="C12" t="s">
        <v>18</v>
      </c>
      <c r="D12" t="s">
        <v>20</v>
      </c>
      <c r="E12" s="18">
        <f>VLOOKUP($B12,[3]Sheet1!$B$7:$K$246, 4, FALSE)</f>
        <v>0.27666067496257596</v>
      </c>
      <c r="F12" s="18">
        <f>VLOOKUP($B12,[3]Sheet1!$B$7:$K$246, 7, FALSE)</f>
        <v>0.47681267001030442</v>
      </c>
      <c r="G12" s="18">
        <f>VLOOKUP($B12,[3]Sheet1!$B$7:$K$246, 10, FALSE)</f>
        <v>0.1183508461815444</v>
      </c>
      <c r="K12" t="s">
        <v>197</v>
      </c>
      <c r="L12" s="18">
        <f>GETPIVOTDATA("Average of Pre-Primary_GER",$K$1,"incomegroup","LOWER MIDDLE INCOME")</f>
        <v>0.40243924162763389</v>
      </c>
      <c r="M12" s="18">
        <f>GETPIVOTDATA("Average of Primary_GER",$K$1,"incomegroup","LOWER MIDDLE INCOME")</f>
        <v>0.65179214313516221</v>
      </c>
      <c r="N12" s="18">
        <f>GETPIVOTDATA("Average of Secondary_GER",$K$1,"incomegroup","LOWER MIDDLE INCOME")</f>
        <v>0.3484702640783065</v>
      </c>
    </row>
    <row r="13" spans="1:14" x14ac:dyDescent="0.2">
      <c r="A13" t="s">
        <v>23</v>
      </c>
      <c r="B13" t="s">
        <v>24</v>
      </c>
      <c r="C13" t="s">
        <v>18</v>
      </c>
      <c r="D13" t="s">
        <v>20</v>
      </c>
      <c r="E13" s="18">
        <f>VLOOKUP($B13,[3]Sheet1!$B$7:$K$246, 4, FALSE)</f>
        <v>0.13814961658080294</v>
      </c>
      <c r="F13" s="18">
        <f>VLOOKUP($B13,[3]Sheet1!$B$7:$K$246, 7, FALSE)</f>
        <v>0.66487346419305893</v>
      </c>
      <c r="G13" s="18">
        <f>VLOOKUP($B13,[3]Sheet1!$B$7:$K$246, 10, FALSE)</f>
        <v>0.30242444779889716</v>
      </c>
      <c r="K13" t="s">
        <v>198</v>
      </c>
      <c r="L13" s="18">
        <f>GETPIVOTDATA("Average of Pre-Primary_GER",$K$1,"incomegroup","UPPER MIDDLE INCOME")</f>
        <v>0.12203477872717432</v>
      </c>
      <c r="M13" s="18">
        <f>GETPIVOTDATA("Average of Primary_GER",$K$1,"incomegroup","UPPER MIDDLE INCOME")</f>
        <v>0.59105034207155016</v>
      </c>
      <c r="N13" s="18">
        <f>GETPIVOTDATA("Average of Secondary_GER",$K$1,"incomegroup","UPPER MIDDLE INCOME")</f>
        <v>0.44932944405791697</v>
      </c>
    </row>
    <row r="14" spans="1:14" x14ac:dyDescent="0.2">
      <c r="A14" t="s">
        <v>41</v>
      </c>
      <c r="B14" t="s">
        <v>42</v>
      </c>
      <c r="C14" t="s">
        <v>33</v>
      </c>
      <c r="D14" t="s">
        <v>36</v>
      </c>
      <c r="E14" s="18" t="str">
        <f>VLOOKUP($B14,[3]Sheet1!$B$7:$K$246, 4, FALSE)</f>
        <v>-</v>
      </c>
      <c r="F14" s="18">
        <f>VLOOKUP($B14,[3]Sheet1!$B$7:$K$246, 7, FALSE)</f>
        <v>0.50990294226145805</v>
      </c>
      <c r="G14" s="18">
        <f>VLOOKUP($B14,[3]Sheet1!$B$7:$K$246, 10, FALSE)</f>
        <v>0.30551613724848087</v>
      </c>
    </row>
    <row r="15" spans="1:14" x14ac:dyDescent="0.2">
      <c r="A15" t="s">
        <v>43</v>
      </c>
      <c r="B15" t="s">
        <v>44</v>
      </c>
      <c r="C15" t="s">
        <v>33</v>
      </c>
      <c r="D15" t="s">
        <v>20</v>
      </c>
      <c r="E15" s="18">
        <f>VLOOKUP($B15,[3]Sheet1!$B$7:$K$246, 4, FALSE)</f>
        <v>0.72231344250961416</v>
      </c>
      <c r="F15" s="18">
        <f>VLOOKUP($B15,[3]Sheet1!$B$7:$K$246, 7, FALSE)</f>
        <v>0.71407831027850044</v>
      </c>
      <c r="G15" s="18">
        <f>VLOOKUP($B15,[3]Sheet1!$B$7:$K$246, 10, FALSE)</f>
        <v>0.46562676994198415</v>
      </c>
    </row>
    <row r="16" spans="1:14" x14ac:dyDescent="0.2">
      <c r="A16" t="s">
        <v>45</v>
      </c>
      <c r="B16" t="s">
        <v>46</v>
      </c>
      <c r="C16" t="s">
        <v>33</v>
      </c>
      <c r="D16" t="s">
        <v>36</v>
      </c>
      <c r="E16" s="18">
        <f>VLOOKUP($B16,[3]Sheet1!$B$7:$K$246, 4, FALSE)</f>
        <v>0.1268679258693296</v>
      </c>
      <c r="F16" s="18">
        <f>VLOOKUP($B16,[3]Sheet1!$B$7:$K$246, 7, FALSE)</f>
        <v>0.71194018195306707</v>
      </c>
      <c r="G16" s="18">
        <f>VLOOKUP($B16,[3]Sheet1!$B$7:$K$246, 10, FALSE)</f>
        <v>0.23166938076746418</v>
      </c>
    </row>
    <row r="17" spans="1:7" x14ac:dyDescent="0.2">
      <c r="A17" t="s">
        <v>47</v>
      </c>
      <c r="B17" t="s">
        <v>48</v>
      </c>
      <c r="C17" t="s">
        <v>33</v>
      </c>
      <c r="D17" t="s">
        <v>20</v>
      </c>
      <c r="E17" s="18">
        <f>VLOOKUP($B17,[3]Sheet1!$B$7:$K$246, 4, FALSE)</f>
        <v>5.6213756555034543E-2</v>
      </c>
      <c r="F17" s="18">
        <f>VLOOKUP($B17,[3]Sheet1!$B$7:$K$246, 7, FALSE)</f>
        <v>0.46779187250686671</v>
      </c>
      <c r="G17" s="18">
        <f>VLOOKUP($B17,[3]Sheet1!$B$7:$K$246, 10, FALSE)</f>
        <v>4.9578693064639683E-2</v>
      </c>
    </row>
    <row r="18" spans="1:7" x14ac:dyDescent="0.2">
      <c r="A18" t="s">
        <v>16</v>
      </c>
      <c r="B18" t="s">
        <v>17</v>
      </c>
      <c r="C18" t="s">
        <v>11</v>
      </c>
      <c r="D18" t="s">
        <v>7</v>
      </c>
      <c r="E18" s="18" t="str">
        <f>VLOOKUP($B18,[3]Sheet1!$B$7:$K$246, 4, FALSE)</f>
        <v>-</v>
      </c>
      <c r="F18" s="18">
        <f>VLOOKUP($B18,[3]Sheet1!$B$7:$K$246, 7, FALSE)</f>
        <v>0.90436153628747706</v>
      </c>
      <c r="G18" s="18">
        <f>VLOOKUP($B18,[3]Sheet1!$B$7:$K$246, 10, FALSE)</f>
        <v>0.55994468312782075</v>
      </c>
    </row>
    <row r="19" spans="1:7" x14ac:dyDescent="0.2">
      <c r="A19" t="s">
        <v>49</v>
      </c>
      <c r="B19" t="s">
        <v>50</v>
      </c>
      <c r="C19" t="s">
        <v>33</v>
      </c>
      <c r="D19" t="s">
        <v>36</v>
      </c>
      <c r="E19" s="18">
        <f>VLOOKUP($B19,[3]Sheet1!$B$7:$K$246, 4, FALSE)</f>
        <v>0.2638610865415949</v>
      </c>
      <c r="F19" s="18">
        <f>VLOOKUP($B19,[3]Sheet1!$B$7:$K$246, 7, FALSE)</f>
        <v>0.35635299038059387</v>
      </c>
      <c r="G19" s="18">
        <f>VLOOKUP($B19,[3]Sheet1!$B$7:$K$246, 10, FALSE)</f>
        <v>1.4742294911057536E-2</v>
      </c>
    </row>
    <row r="20" spans="1:7" x14ac:dyDescent="0.2">
      <c r="A20" t="s">
        <v>51</v>
      </c>
      <c r="B20" t="s">
        <v>52</v>
      </c>
      <c r="C20" t="s">
        <v>33</v>
      </c>
      <c r="D20" t="s">
        <v>36</v>
      </c>
      <c r="E20" s="18">
        <f>VLOOKUP($B20,[3]Sheet1!$B$7:$K$246, 4, FALSE)</f>
        <v>0.44496343870770427</v>
      </c>
      <c r="F20" s="18">
        <f>VLOOKUP($B20,[3]Sheet1!$B$7:$K$246, 7, FALSE)</f>
        <v>0.66453103534407398</v>
      </c>
      <c r="G20" s="18">
        <f>VLOOKUP($B20,[3]Sheet1!$B$7:$K$246, 10, FALSE)</f>
        <v>0.43786003693393238</v>
      </c>
    </row>
    <row r="21" spans="1:7" x14ac:dyDescent="0.2">
      <c r="A21" t="s">
        <v>25</v>
      </c>
      <c r="B21" t="s">
        <v>26</v>
      </c>
      <c r="C21" t="s">
        <v>18</v>
      </c>
      <c r="D21" t="s">
        <v>7</v>
      </c>
      <c r="E21" s="18">
        <f>VLOOKUP($B21,[3]Sheet1!$B$7:$K$246, 4, FALSE)</f>
        <v>0</v>
      </c>
      <c r="F21" s="18">
        <f>VLOOKUP($B21,[3]Sheet1!$B$7:$K$246, 7, FALSE)</f>
        <v>0.67414888985633437</v>
      </c>
      <c r="G21" s="18">
        <f>VLOOKUP($B21,[3]Sheet1!$B$7:$K$246, 10, FALSE)</f>
        <v>0.32493284879127826</v>
      </c>
    </row>
    <row r="22" spans="1:7" x14ac:dyDescent="0.2">
      <c r="A22" t="s">
        <v>167</v>
      </c>
      <c r="B22" t="s">
        <v>168</v>
      </c>
      <c r="C22" t="s">
        <v>33</v>
      </c>
      <c r="D22" t="s">
        <v>20</v>
      </c>
      <c r="E22" s="18">
        <f>VLOOKUP($B22,[3]Sheet1!$B$7:$K$246, 4, FALSE)</f>
        <v>0.70453853183064274</v>
      </c>
      <c r="F22" s="18">
        <f>VLOOKUP($B22,[3]Sheet1!$B$7:$K$246, 7, FALSE)</f>
        <v>1.4297181846850722</v>
      </c>
      <c r="G22" s="18">
        <f>VLOOKUP($B22,[3]Sheet1!$B$7:$K$246, 10, FALSE)</f>
        <v>0.39049080659917951</v>
      </c>
    </row>
    <row r="23" spans="1:7" x14ac:dyDescent="0.2">
      <c r="A23" t="s">
        <v>165</v>
      </c>
      <c r="B23" t="s">
        <v>166</v>
      </c>
      <c r="C23" t="s">
        <v>18</v>
      </c>
      <c r="D23" t="s">
        <v>20</v>
      </c>
      <c r="E23" s="18">
        <f>VLOOKUP($B23,[3]Sheet1!$B$7:$K$246, 4, FALSE)</f>
        <v>0.66649571772911431</v>
      </c>
      <c r="F23" s="18">
        <f>VLOOKUP($B23,[3]Sheet1!$B$7:$K$246, 7, FALSE)</f>
        <v>0.84998352039134739</v>
      </c>
      <c r="G23" s="18">
        <f>VLOOKUP($B23,[3]Sheet1!$B$7:$K$246, 10, FALSE)</f>
        <v>0.78997873077113323</v>
      </c>
    </row>
    <row r="24" spans="1:7" x14ac:dyDescent="0.2">
      <c r="A24" t="s">
        <v>163</v>
      </c>
      <c r="B24" t="s">
        <v>164</v>
      </c>
      <c r="C24" t="s">
        <v>27</v>
      </c>
      <c r="D24" t="s">
        <v>20</v>
      </c>
      <c r="E24" s="18" t="str">
        <f>VLOOKUP($B24,[3]Sheet1!$B$7:$K$246, 4, FALSE)</f>
        <v>-</v>
      </c>
      <c r="F24" s="18">
        <f>VLOOKUP($B24,[3]Sheet1!$B$7:$K$246, 7, FALSE)</f>
        <v>0.60002537105163012</v>
      </c>
      <c r="G24" s="18">
        <f>VLOOKUP($B24,[3]Sheet1!$B$7:$K$246, 10, FALSE)</f>
        <v>0.3102262443438914</v>
      </c>
    </row>
    <row r="25" spans="1:7" x14ac:dyDescent="0.2">
      <c r="A25" t="s">
        <v>161</v>
      </c>
      <c r="B25" t="s">
        <v>162</v>
      </c>
      <c r="C25" t="s">
        <v>11</v>
      </c>
      <c r="D25" t="s">
        <v>7</v>
      </c>
      <c r="E25" s="18" t="str">
        <f>VLOOKUP($B25,[3]Sheet1!$B$7:$K$246, 4, FALSE)</f>
        <v>-</v>
      </c>
      <c r="F25" s="18" t="str">
        <f>VLOOKUP($B25,[3]Sheet1!$B$7:$K$246, 7, FALSE)</f>
        <v>-</v>
      </c>
      <c r="G25" s="18" t="str">
        <f>VLOOKUP($B25,[3]Sheet1!$B$7:$K$246, 10, FALSE)</f>
        <v>-</v>
      </c>
    </row>
    <row r="26" spans="1:7" x14ac:dyDescent="0.2">
      <c r="A26" t="s">
        <v>159</v>
      </c>
      <c r="B26" t="s">
        <v>160</v>
      </c>
      <c r="C26" t="s">
        <v>11</v>
      </c>
      <c r="D26" t="s">
        <v>7</v>
      </c>
      <c r="E26" s="18" t="str">
        <f>VLOOKUP($B26,[3]Sheet1!$B$7:$K$246, 4, FALSE)</f>
        <v>-</v>
      </c>
      <c r="F26" s="18">
        <f>VLOOKUP($B26,[3]Sheet1!$B$7:$K$246, 7, FALSE)</f>
        <v>0.83</v>
      </c>
      <c r="G26" s="18">
        <f>VLOOKUP($B26,[3]Sheet1!$B$7:$K$246, 10, FALSE)</f>
        <v>0.55000000000000004</v>
      </c>
    </row>
    <row r="27" spans="1:7" x14ac:dyDescent="0.2">
      <c r="A27" t="s">
        <v>157</v>
      </c>
      <c r="B27" t="s">
        <v>158</v>
      </c>
      <c r="C27" t="s">
        <v>4</v>
      </c>
      <c r="D27" t="s">
        <v>7</v>
      </c>
      <c r="E27" s="18" t="s">
        <v>248</v>
      </c>
      <c r="F27" s="18" t="s">
        <v>248</v>
      </c>
      <c r="G27" s="18" t="s">
        <v>248</v>
      </c>
    </row>
    <row r="28" spans="1:7" x14ac:dyDescent="0.2">
      <c r="A28" t="s">
        <v>155</v>
      </c>
      <c r="B28" t="s">
        <v>156</v>
      </c>
      <c r="C28" t="s">
        <v>33</v>
      </c>
      <c r="D28" t="s">
        <v>20</v>
      </c>
      <c r="E28" s="18">
        <f>VLOOKUP($B28,[3]Sheet1!$B$7:$K$246, 4, FALSE)</f>
        <v>9.1142596735437897E-2</v>
      </c>
      <c r="F28" s="18">
        <f>VLOOKUP($B28,[3]Sheet1!$B$7:$K$246, 7, FALSE)</f>
        <v>0.29891035165923724</v>
      </c>
      <c r="G28" s="18">
        <f>VLOOKUP($B28,[3]Sheet1!$B$7:$K$246, 10, FALSE)</f>
        <v>6.4118205232479325E-2</v>
      </c>
    </row>
    <row r="29" spans="1:7" x14ac:dyDescent="0.2">
      <c r="A29" t="s">
        <v>153</v>
      </c>
      <c r="B29" t="s">
        <v>154</v>
      </c>
      <c r="C29" t="s">
        <v>33</v>
      </c>
      <c r="D29" t="s">
        <v>36</v>
      </c>
      <c r="E29" s="18">
        <f>VLOOKUP($B29,[3]Sheet1!$B$7:$K$246, 4, FALSE)</f>
        <v>0.71841318721130332</v>
      </c>
      <c r="F29" s="18">
        <f>VLOOKUP($B29,[3]Sheet1!$B$7:$K$246, 7, FALSE)</f>
        <v>1.2455105727340345</v>
      </c>
      <c r="G29" s="18">
        <f>VLOOKUP($B29,[3]Sheet1!$B$7:$K$246, 10, FALSE)</f>
        <v>0.72504254944539004</v>
      </c>
    </row>
    <row r="30" spans="1:7" x14ac:dyDescent="0.2">
      <c r="A30" t="s">
        <v>151</v>
      </c>
      <c r="B30" t="s">
        <v>152</v>
      </c>
      <c r="C30" t="s">
        <v>191</v>
      </c>
      <c r="D30" t="s">
        <v>7</v>
      </c>
      <c r="E30" s="18">
        <f>VLOOKUP($B30,[3]Sheet1!$B$7:$K$246, 4, FALSE)</f>
        <v>0.21672090500542385</v>
      </c>
      <c r="F30" s="18">
        <f>VLOOKUP($B30,[3]Sheet1!$B$7:$K$246, 7, FALSE)</f>
        <v>0.42857142857142855</v>
      </c>
      <c r="G30" s="18">
        <f>VLOOKUP($B30,[3]Sheet1!$B$7:$K$246, 10, FALSE)</f>
        <v>0.30498392282958198</v>
      </c>
    </row>
    <row r="31" spans="1:7" x14ac:dyDescent="0.2">
      <c r="A31" t="s">
        <v>149</v>
      </c>
      <c r="B31" t="s">
        <v>150</v>
      </c>
      <c r="C31" t="s">
        <v>11</v>
      </c>
      <c r="D31" t="s">
        <v>7</v>
      </c>
      <c r="E31" s="18" t="str">
        <f>VLOOKUP($B31,[3]Sheet1!$B$7:$K$246, 4, FALSE)</f>
        <v>-</v>
      </c>
      <c r="F31" s="18" t="str">
        <f>VLOOKUP($B31,[3]Sheet1!$B$7:$K$246, 7, FALSE)</f>
        <v>-</v>
      </c>
      <c r="G31" s="18" t="str">
        <f>VLOOKUP($B31,[3]Sheet1!$B$7:$K$246, 10, FALSE)</f>
        <v>-</v>
      </c>
    </row>
    <row r="32" spans="1:7" x14ac:dyDescent="0.2">
      <c r="A32" t="s">
        <v>147</v>
      </c>
      <c r="B32" t="s">
        <v>148</v>
      </c>
      <c r="C32" t="s">
        <v>33</v>
      </c>
      <c r="D32" t="s">
        <v>20</v>
      </c>
      <c r="E32" s="18">
        <f>VLOOKUP($B32,[3]Sheet1!$B$7:$K$246, 4, FALSE)</f>
        <v>0.63998577018854497</v>
      </c>
      <c r="F32" s="18">
        <f>VLOOKUP($B32,[3]Sheet1!$B$7:$K$246, 7, FALSE)</f>
        <v>0.44056481153255345</v>
      </c>
      <c r="G32" s="18">
        <f>VLOOKUP($B32,[3]Sheet1!$B$7:$K$246, 10, FALSE)</f>
        <v>0.3283620248849497</v>
      </c>
    </row>
    <row r="33" spans="1:7" x14ac:dyDescent="0.2">
      <c r="A33" t="s">
        <v>145</v>
      </c>
      <c r="B33" t="s">
        <v>146</v>
      </c>
      <c r="C33" t="s">
        <v>33</v>
      </c>
      <c r="D33" t="s">
        <v>36</v>
      </c>
      <c r="E33" s="18">
        <f>VLOOKUP($B33,[3]Sheet1!$B$7:$K$246, 4, FALSE)</f>
        <v>0.53651300775901412</v>
      </c>
      <c r="F33" s="18">
        <f>VLOOKUP($B33,[3]Sheet1!$B$7:$K$246, 7, FALSE)</f>
        <v>0.7793756397134084</v>
      </c>
      <c r="G33" s="18">
        <f>VLOOKUP($B33,[3]Sheet1!$B$7:$K$246, 10, FALSE)</f>
        <v>0.59117067402443835</v>
      </c>
    </row>
    <row r="34" spans="1:7" x14ac:dyDescent="0.2">
      <c r="A34" t="s">
        <v>143</v>
      </c>
      <c r="B34" t="s">
        <v>144</v>
      </c>
      <c r="C34" t="s">
        <v>4</v>
      </c>
      <c r="D34" t="s">
        <v>7</v>
      </c>
      <c r="E34" s="18" t="s">
        <v>248</v>
      </c>
      <c r="F34" s="18" t="s">
        <v>248</v>
      </c>
      <c r="G34" s="18" t="s">
        <v>248</v>
      </c>
    </row>
    <row r="35" spans="1:7" x14ac:dyDescent="0.2">
      <c r="A35" t="s">
        <v>141</v>
      </c>
      <c r="B35" t="s">
        <v>142</v>
      </c>
      <c r="C35" t="s">
        <v>18</v>
      </c>
      <c r="D35" t="s">
        <v>20</v>
      </c>
      <c r="E35" s="18">
        <f>VLOOKUP($B35,[3]Sheet1!$B$7:$K$246, 4, FALSE)</f>
        <v>7.3513513513513512E-2</v>
      </c>
      <c r="F35" s="18">
        <f>VLOOKUP($B35,[3]Sheet1!$B$7:$K$246, 7, FALSE)</f>
        <v>0.35771812080536913</v>
      </c>
      <c r="G35" s="18">
        <f>VLOOKUP($B35,[3]Sheet1!$B$7:$K$246, 10, FALSE)</f>
        <v>0.20813875917278185</v>
      </c>
    </row>
    <row r="36" spans="1:7" x14ac:dyDescent="0.2">
      <c r="A36" t="s">
        <v>139</v>
      </c>
      <c r="B36" t="s">
        <v>140</v>
      </c>
      <c r="C36" t="s">
        <v>191</v>
      </c>
      <c r="D36" t="s">
        <v>7</v>
      </c>
      <c r="E36" s="18" t="str">
        <f>VLOOKUP($B36,[3]Sheet1!$B$7:$K$246, 4, FALSE)</f>
        <v>-</v>
      </c>
      <c r="F36" s="18">
        <f>VLOOKUP($B36,[3]Sheet1!$B$7:$K$246, 7, FALSE)</f>
        <v>0.64058873478630063</v>
      </c>
      <c r="G36" s="18">
        <f>VLOOKUP($B36,[3]Sheet1!$B$7:$K$246, 10, FALSE)</f>
        <v>0.8729082821436136</v>
      </c>
    </row>
    <row r="37" spans="1:7" x14ac:dyDescent="0.2">
      <c r="A37" t="s">
        <v>137</v>
      </c>
      <c r="B37" t="s">
        <v>138</v>
      </c>
      <c r="C37" t="s">
        <v>33</v>
      </c>
      <c r="D37" t="s">
        <v>36</v>
      </c>
      <c r="E37" s="18">
        <f>VLOOKUP($B37,[3]Sheet1!$B$7:$K$246, 4, FALSE)</f>
        <v>0.38417832167832167</v>
      </c>
      <c r="F37" s="18">
        <f>VLOOKUP($B37,[3]Sheet1!$B$7:$K$246, 7, FALSE)</f>
        <v>0.57251340083382962</v>
      </c>
      <c r="G37" s="18">
        <f>VLOOKUP($B37,[3]Sheet1!$B$7:$K$246, 10, FALSE)</f>
        <v>0.13556055252168325</v>
      </c>
    </row>
    <row r="38" spans="1:7" x14ac:dyDescent="0.2">
      <c r="A38" t="s">
        <v>135</v>
      </c>
      <c r="B38" t="s">
        <v>136</v>
      </c>
      <c r="C38" t="s">
        <v>33</v>
      </c>
      <c r="D38" t="s">
        <v>20</v>
      </c>
      <c r="E38" s="18">
        <f>VLOOKUP($B38,[3]Sheet1!$B$7:$K$246, 4, FALSE)</f>
        <v>0.71993410214168041</v>
      </c>
      <c r="F38" s="18">
        <f>VLOOKUP($B38,[3]Sheet1!$B$7:$K$246, 7, FALSE)</f>
        <v>1.0777705767984447</v>
      </c>
      <c r="G38" s="18">
        <f>VLOOKUP($B38,[3]Sheet1!$B$7:$K$246, 10, FALSE)</f>
        <v>0.28743169398907104</v>
      </c>
    </row>
    <row r="39" spans="1:7" x14ac:dyDescent="0.2">
      <c r="A39" t="s">
        <v>133</v>
      </c>
      <c r="B39" t="s">
        <v>134</v>
      </c>
      <c r="C39" t="s">
        <v>33</v>
      </c>
      <c r="D39" t="s">
        <v>20</v>
      </c>
      <c r="E39" s="18">
        <f>VLOOKUP($B39,[3]Sheet1!$B$7:$K$246, 4, FALSE)</f>
        <v>0.18469968840657569</v>
      </c>
      <c r="F39" s="18">
        <f>VLOOKUP($B39,[3]Sheet1!$B$7:$K$246, 7, FALSE)</f>
        <v>0.76825021354885337</v>
      </c>
      <c r="G39" s="18">
        <f>VLOOKUP($B39,[3]Sheet1!$B$7:$K$246, 10, FALSE)</f>
        <v>0.29741251115296918</v>
      </c>
    </row>
    <row r="40" spans="1:7" x14ac:dyDescent="0.2">
      <c r="A40" t="s">
        <v>131</v>
      </c>
      <c r="B40" t="s">
        <v>132</v>
      </c>
      <c r="C40" t="s">
        <v>33</v>
      </c>
      <c r="D40" t="s">
        <v>7</v>
      </c>
      <c r="E40" s="18" t="str">
        <f>VLOOKUP($B40,[3]Sheet1!$B$7:$K$246, 4, FALSE)</f>
        <v>-</v>
      </c>
      <c r="F40" s="18">
        <f>VLOOKUP($B40,[3]Sheet1!$B$7:$K$246, 7, FALSE)</f>
        <v>0.95694975022039375</v>
      </c>
      <c r="G40" s="18">
        <f>VLOOKUP($B40,[3]Sheet1!$B$7:$K$246, 10, FALSE)</f>
        <v>0.89670437776684697</v>
      </c>
    </row>
    <row r="41" spans="1:7" x14ac:dyDescent="0.2">
      <c r="A41" t="s">
        <v>129</v>
      </c>
      <c r="B41" t="s">
        <v>130</v>
      </c>
      <c r="C41" t="s">
        <v>33</v>
      </c>
      <c r="D41" t="s">
        <v>36</v>
      </c>
      <c r="E41" s="18">
        <f>VLOOKUP($B41,[3]Sheet1!$B$7:$K$246, 4, FALSE)</f>
        <v>0.54595206642762784</v>
      </c>
      <c r="F41" s="18">
        <f>VLOOKUP($B41,[3]Sheet1!$B$7:$K$246, 7, FALSE)</f>
        <v>0.39609327940796835</v>
      </c>
      <c r="G41" s="18">
        <f>VLOOKUP($B41,[3]Sheet1!$B$7:$K$246, 10, FALSE)</f>
        <v>0.1542671802148794</v>
      </c>
    </row>
    <row r="42" spans="1:7" x14ac:dyDescent="0.2">
      <c r="A42" t="s">
        <v>127</v>
      </c>
      <c r="B42" t="s">
        <v>128</v>
      </c>
      <c r="C42" t="s">
        <v>33</v>
      </c>
      <c r="D42" t="s">
        <v>20</v>
      </c>
      <c r="E42" s="18" t="str">
        <f>VLOOKUP($B42,[3]Sheet1!$B$7:$K$246, 4, FALSE)</f>
        <v>-</v>
      </c>
      <c r="F42" s="18" t="str">
        <f>VLOOKUP($B42,[3]Sheet1!$B$7:$K$246, 7, FALSE)</f>
        <v>-</v>
      </c>
      <c r="G42" s="18" t="str">
        <f>VLOOKUP($B42,[3]Sheet1!$B$7:$K$246, 10, FALSE)</f>
        <v>-</v>
      </c>
    </row>
    <row r="43" spans="1:7" x14ac:dyDescent="0.2">
      <c r="A43" t="s">
        <v>125</v>
      </c>
      <c r="B43" t="s">
        <v>126</v>
      </c>
      <c r="C43" t="s">
        <v>18</v>
      </c>
      <c r="D43" t="s">
        <v>36</v>
      </c>
      <c r="E43" s="18" t="str">
        <f>VLOOKUP($B43,[3]Sheet1!$B$7:$K$246, 4, FALSE)</f>
        <v>-</v>
      </c>
      <c r="F43" s="18">
        <f>VLOOKUP($B43,[3]Sheet1!$B$7:$K$246, 7, FALSE)</f>
        <v>0.72295081967213115</v>
      </c>
      <c r="G43" s="18">
        <f>VLOOKUP($B43,[3]Sheet1!$B$7:$K$246, 10, FALSE)</f>
        <v>0.28547249647390693</v>
      </c>
    </row>
    <row r="44" spans="1:7" x14ac:dyDescent="0.2">
      <c r="A44" t="s">
        <v>123</v>
      </c>
      <c r="B44" t="s">
        <v>124</v>
      </c>
      <c r="C44" t="s">
        <v>11</v>
      </c>
      <c r="D44" t="s">
        <v>7</v>
      </c>
      <c r="E44" s="18" t="str">
        <f>VLOOKUP($B44,[3]Sheet1!$B$7:$K$246, 4, FALSE)</f>
        <v>-</v>
      </c>
      <c r="F44" s="18">
        <f>VLOOKUP($B44,[3]Sheet1!$B$7:$K$246, 7, FALSE)</f>
        <v>0.83</v>
      </c>
      <c r="G44" s="18">
        <f>VLOOKUP($B44,[3]Sheet1!$B$7:$K$246, 10, FALSE)</f>
        <v>0.67</v>
      </c>
    </row>
    <row r="45" spans="1:7" x14ac:dyDescent="0.2">
      <c r="A45" t="s">
        <v>121</v>
      </c>
      <c r="B45" t="s">
        <v>122</v>
      </c>
      <c r="C45" t="s">
        <v>27</v>
      </c>
      <c r="D45" t="s">
        <v>36</v>
      </c>
      <c r="E45" s="18" t="str">
        <f>VLOOKUP($B45,[3]Sheet1!$B$7:$K$246, 4, FALSE)</f>
        <v>-</v>
      </c>
      <c r="F45" s="18" t="str">
        <f>VLOOKUP($B45,[3]Sheet1!$B$7:$K$246, 7, FALSE)</f>
        <v>-</v>
      </c>
      <c r="G45" s="18" t="str">
        <f>VLOOKUP($B45,[3]Sheet1!$B$7:$K$246, 10, FALSE)</f>
        <v>-</v>
      </c>
    </row>
    <row r="46" spans="1:7" x14ac:dyDescent="0.2">
      <c r="A46" t="s">
        <v>119</v>
      </c>
      <c r="B46" t="s">
        <v>120</v>
      </c>
      <c r="C46" t="s">
        <v>33</v>
      </c>
      <c r="D46" t="s">
        <v>36</v>
      </c>
      <c r="E46" s="18">
        <f>VLOOKUP($B46,[3]Sheet1!$B$7:$K$246, 4, FALSE)</f>
        <v>0.15531023981728206</v>
      </c>
      <c r="F46" s="18">
        <f>VLOOKUP($B46,[3]Sheet1!$B$7:$K$246, 7, FALSE)</f>
        <v>0.35758900687070583</v>
      </c>
      <c r="G46" s="18">
        <f>VLOOKUP($B46,[3]Sheet1!$B$7:$K$246, 10, FALSE)</f>
        <v>0.12958963282937366</v>
      </c>
    </row>
    <row r="47" spans="1:7" x14ac:dyDescent="0.2">
      <c r="A47" t="s">
        <v>117</v>
      </c>
      <c r="B47" t="s">
        <v>118</v>
      </c>
      <c r="C47" t="s">
        <v>18</v>
      </c>
      <c r="D47" t="s">
        <v>7</v>
      </c>
      <c r="E47" s="18">
        <f>VLOOKUP($B47,[3]Sheet1!$B$7:$K$246, 4, FALSE)</f>
        <v>0</v>
      </c>
      <c r="F47" s="18">
        <f>VLOOKUP($B47,[3]Sheet1!$B$7:$K$246, 7, FALSE)</f>
        <v>2.1993514732835191E-2</v>
      </c>
      <c r="G47" s="18">
        <f>VLOOKUP($B47,[3]Sheet1!$B$7:$K$246, 10, FALSE)</f>
        <v>2.2001205545509342E-2</v>
      </c>
    </row>
    <row r="48" spans="1:7" x14ac:dyDescent="0.2">
      <c r="A48" t="s">
        <v>115</v>
      </c>
      <c r="B48" t="s">
        <v>116</v>
      </c>
      <c r="C48" t="s">
        <v>4</v>
      </c>
      <c r="D48" t="s">
        <v>7</v>
      </c>
      <c r="E48" s="18" t="s">
        <v>248</v>
      </c>
      <c r="F48" s="18" t="s">
        <v>248</v>
      </c>
      <c r="G48" s="18" t="s">
        <v>248</v>
      </c>
    </row>
    <row r="49" spans="1:7" x14ac:dyDescent="0.2">
      <c r="A49" t="s">
        <v>113</v>
      </c>
      <c r="B49" t="s">
        <v>114</v>
      </c>
      <c r="C49" t="s">
        <v>33</v>
      </c>
      <c r="D49" t="s">
        <v>36</v>
      </c>
      <c r="E49" s="18">
        <f>VLOOKUP($B49,[3]Sheet1!$B$7:$K$246, 4, FALSE)</f>
        <v>0.11045056320400501</v>
      </c>
      <c r="F49" s="18">
        <f>VLOOKUP($B49,[3]Sheet1!$B$7:$K$246, 7, FALSE)</f>
        <v>0.85840358271865125</v>
      </c>
      <c r="G49" s="18">
        <f>VLOOKUP($B49,[3]Sheet1!$B$7:$K$246, 10, FALSE)</f>
        <v>0.27191235059760954</v>
      </c>
    </row>
    <row r="50" spans="1:7" x14ac:dyDescent="0.2">
      <c r="A50" t="s">
        <v>111</v>
      </c>
      <c r="B50" t="s">
        <v>112</v>
      </c>
      <c r="C50" t="s">
        <v>4</v>
      </c>
      <c r="D50" t="s">
        <v>7</v>
      </c>
      <c r="E50" s="18" t="s">
        <v>248</v>
      </c>
      <c r="F50" s="18" t="s">
        <v>248</v>
      </c>
      <c r="G50" s="18" t="s">
        <v>248</v>
      </c>
    </row>
    <row r="51" spans="1:7" x14ac:dyDescent="0.2">
      <c r="A51" t="s">
        <v>109</v>
      </c>
      <c r="B51" t="s">
        <v>110</v>
      </c>
      <c r="C51" t="s">
        <v>18</v>
      </c>
      <c r="D51" t="s">
        <v>20</v>
      </c>
      <c r="E51" s="18">
        <f>VLOOKUP($B51,[3]Sheet1!$B$7:$K$246, 4, FALSE)</f>
        <v>0.18853211009174312</v>
      </c>
      <c r="F51" s="18">
        <f>VLOOKUP($B51,[3]Sheet1!$B$7:$K$246, 7, FALSE)</f>
        <v>0.64838709677419359</v>
      </c>
      <c r="G51" s="18">
        <f>VLOOKUP($B51,[3]Sheet1!$B$7:$K$246, 10, FALSE)</f>
        <v>0.40722065348931019</v>
      </c>
    </row>
    <row r="52" spans="1:7" x14ac:dyDescent="0.2">
      <c r="A52" t="s">
        <v>107</v>
      </c>
      <c r="B52" t="s">
        <v>108</v>
      </c>
      <c r="C52" t="s">
        <v>33</v>
      </c>
      <c r="D52" t="s">
        <v>36</v>
      </c>
      <c r="E52" s="18">
        <f>VLOOKUP($B52,[3]Sheet1!$B$7:$K$246, 4, FALSE)</f>
        <v>9.8250336473755043E-2</v>
      </c>
      <c r="F52" s="18">
        <f>VLOOKUP($B52,[3]Sheet1!$B$7:$K$246, 7, FALSE)</f>
        <v>0.52897617514488082</v>
      </c>
      <c r="G52" s="18">
        <f>VLOOKUP($B52,[3]Sheet1!$B$7:$K$246, 10, FALSE)</f>
        <v>0.29654036243822074</v>
      </c>
    </row>
    <row r="53" spans="1:7" x14ac:dyDescent="0.2">
      <c r="A53" t="s">
        <v>105</v>
      </c>
      <c r="B53" t="s">
        <v>106</v>
      </c>
      <c r="C53" t="s">
        <v>11</v>
      </c>
      <c r="D53" t="s">
        <v>7</v>
      </c>
      <c r="E53" s="18" t="str">
        <f>VLOOKUP($B53,[3]Sheet1!$B$7:$K$246, 4, FALSE)</f>
        <v>-</v>
      </c>
      <c r="F53" s="18" t="str">
        <f>VLOOKUP($B53,[3]Sheet1!$B$7:$K$246, 7, FALSE)</f>
        <v>-</v>
      </c>
      <c r="G53" s="18" t="str">
        <f>VLOOKUP($B53,[3]Sheet1!$B$7:$K$246, 10, FALSE)</f>
        <v>-</v>
      </c>
    </row>
    <row r="54" spans="1:7" x14ac:dyDescent="0.2">
      <c r="A54" t="s">
        <v>103</v>
      </c>
      <c r="B54" t="s">
        <v>104</v>
      </c>
      <c r="C54" t="s">
        <v>4</v>
      </c>
      <c r="D54" t="s">
        <v>7</v>
      </c>
      <c r="E54" s="18" t="s">
        <v>248</v>
      </c>
      <c r="F54" s="18" t="s">
        <v>248</v>
      </c>
      <c r="G54" s="18" t="s">
        <v>248</v>
      </c>
    </row>
    <row r="55" spans="1:7" x14ac:dyDescent="0.2">
      <c r="A55" t="s">
        <v>101</v>
      </c>
      <c r="B55" t="s">
        <v>102</v>
      </c>
      <c r="C55" t="s">
        <v>33</v>
      </c>
      <c r="D55" t="s">
        <v>20</v>
      </c>
      <c r="E55" s="18">
        <f>VLOOKUP($B55,[3]Sheet1!$B$7:$K$246, 4, FALSE)</f>
        <v>0.72093023255813948</v>
      </c>
      <c r="F55" s="18">
        <f>VLOOKUP($B55,[3]Sheet1!$B$7:$K$246, 7, FALSE)</f>
        <v>0.71976781683327962</v>
      </c>
      <c r="G55" s="18">
        <f>VLOOKUP($B55,[3]Sheet1!$B$7:$K$246, 10, FALSE)</f>
        <v>0.24323181049069373</v>
      </c>
    </row>
    <row r="56" spans="1:7" x14ac:dyDescent="0.2">
      <c r="A56" t="s">
        <v>99</v>
      </c>
      <c r="B56" t="s">
        <v>100</v>
      </c>
      <c r="C56" t="s">
        <v>4</v>
      </c>
      <c r="D56" t="s">
        <v>7</v>
      </c>
      <c r="E56" s="18" t="s">
        <v>248</v>
      </c>
      <c r="F56" s="18" t="s">
        <v>248</v>
      </c>
      <c r="G56" s="18" t="s">
        <v>248</v>
      </c>
    </row>
    <row r="57" spans="1:7" x14ac:dyDescent="0.2">
      <c r="A57" t="s">
        <v>97</v>
      </c>
      <c r="B57" t="s">
        <v>98</v>
      </c>
      <c r="C57" t="s">
        <v>18</v>
      </c>
      <c r="D57" t="s">
        <v>36</v>
      </c>
      <c r="E57" s="18" t="str">
        <f>VLOOKUP($B57,[3]Sheet1!$B$7:$K$246, 4, FALSE)</f>
        <v>-</v>
      </c>
      <c r="F57" s="18">
        <f>VLOOKUP($B57,[3]Sheet1!$B$7:$K$246, 7, FALSE)</f>
        <v>0.80203959208158371</v>
      </c>
      <c r="G57" s="18">
        <f>VLOOKUP($B57,[3]Sheet1!$B$7:$K$246, 10, FALSE)</f>
        <v>0.45917602996254681</v>
      </c>
    </row>
    <row r="58" spans="1:7" x14ac:dyDescent="0.2">
      <c r="A58" t="s">
        <v>95</v>
      </c>
      <c r="B58" t="s">
        <v>96</v>
      </c>
      <c r="C58" t="s">
        <v>4</v>
      </c>
      <c r="D58" t="s">
        <v>7</v>
      </c>
      <c r="E58" s="18" t="s">
        <v>248</v>
      </c>
      <c r="F58" s="18" t="s">
        <v>248</v>
      </c>
      <c r="G58" s="18" t="s">
        <v>248</v>
      </c>
    </row>
    <row r="59" spans="1:7" x14ac:dyDescent="0.2">
      <c r="A59" t="s">
        <v>93</v>
      </c>
      <c r="B59" t="s">
        <v>94</v>
      </c>
      <c r="C59" t="s">
        <v>33</v>
      </c>
      <c r="D59" t="s">
        <v>20</v>
      </c>
      <c r="E59" s="18">
        <f>VLOOKUP($B59,[3]Sheet1!$B$7:$K$246, 4, FALSE)</f>
        <v>9.353233830845771E-2</v>
      </c>
      <c r="F59" s="18">
        <f>VLOOKUP($B59,[3]Sheet1!$B$7:$K$246, 7, FALSE)</f>
        <v>0.44536585365853659</v>
      </c>
      <c r="G59" s="18">
        <f>VLOOKUP($B59,[3]Sheet1!$B$7:$K$246, 10, FALSE)</f>
        <v>0.18246346555323592</v>
      </c>
    </row>
    <row r="60" spans="1:7" x14ac:dyDescent="0.2">
      <c r="A60" t="s">
        <v>91</v>
      </c>
      <c r="B60" t="s">
        <v>92</v>
      </c>
      <c r="C60" t="s">
        <v>11</v>
      </c>
      <c r="D60" t="s">
        <v>20</v>
      </c>
      <c r="E60" s="18" t="str">
        <f>VLOOKUP($B60,[3]Sheet1!$B$7:$K$246, 4, FALSE)</f>
        <v>-</v>
      </c>
      <c r="F60" s="18" t="str">
        <f>VLOOKUP($B60,[3]Sheet1!$B$7:$K$246, 7, FALSE)</f>
        <v>-</v>
      </c>
      <c r="G60" s="18" t="str">
        <f>VLOOKUP($B60,[3]Sheet1!$B$7:$K$246, 10, FALSE)</f>
        <v>-</v>
      </c>
    </row>
    <row r="61" spans="1:7" x14ac:dyDescent="0.2">
      <c r="A61" t="s">
        <v>89</v>
      </c>
      <c r="B61" t="s">
        <v>90</v>
      </c>
      <c r="C61" t="s">
        <v>33</v>
      </c>
      <c r="D61" t="s">
        <v>36</v>
      </c>
      <c r="E61" s="18">
        <f>VLOOKUP($B61,[3]Sheet1!$B$7:$K$246, 4, FALSE)</f>
        <v>3.6215816703621583E-2</v>
      </c>
      <c r="F61" s="18">
        <f>VLOOKUP($B61,[3]Sheet1!$B$7:$K$246, 7, FALSE)</f>
        <v>0.39703703703703702</v>
      </c>
      <c r="G61" s="18">
        <f>VLOOKUP($B61,[3]Sheet1!$B$7:$K$246, 10, FALSE)</f>
        <v>0.30151975683890575</v>
      </c>
    </row>
    <row r="62" spans="1:7" x14ac:dyDescent="0.2">
      <c r="A62" t="s">
        <v>87</v>
      </c>
      <c r="B62" t="s">
        <v>88</v>
      </c>
      <c r="C62" t="s">
        <v>18</v>
      </c>
      <c r="D62" t="s">
        <v>20</v>
      </c>
      <c r="E62" s="18">
        <f>VLOOKUP($B62,[3]Sheet1!$B$7:$K$246, 4, FALSE)</f>
        <v>0.40228873239436619</v>
      </c>
      <c r="F62" s="18">
        <f>VLOOKUP($B62,[3]Sheet1!$B$7:$K$246, 7, FALSE)</f>
        <v>0.78119800332778699</v>
      </c>
      <c r="G62" s="18">
        <f>VLOOKUP($B62,[3]Sheet1!$B$7:$K$246, 10, FALSE)</f>
        <v>0.4461738002594034</v>
      </c>
    </row>
    <row r="63" spans="1:7" x14ac:dyDescent="0.2">
      <c r="A63" t="s">
        <v>85</v>
      </c>
      <c r="B63" t="s">
        <v>86</v>
      </c>
      <c r="C63" t="s">
        <v>191</v>
      </c>
      <c r="D63" t="s">
        <v>20</v>
      </c>
      <c r="E63" s="18" t="str">
        <f>VLOOKUP($B63,[3]Sheet1!$B$7:$K$246, 4, FALSE)</f>
        <v>-</v>
      </c>
      <c r="F63" s="18" t="str">
        <f>VLOOKUP($B63,[3]Sheet1!$B$7:$K$246, 7, FALSE)</f>
        <v>-</v>
      </c>
      <c r="G63" s="18" t="str">
        <f>VLOOKUP($B63,[3]Sheet1!$B$7:$K$246, 10, FALSE)</f>
        <v>-</v>
      </c>
    </row>
    <row r="64" spans="1:7" x14ac:dyDescent="0.2">
      <c r="A64" t="s">
        <v>83</v>
      </c>
      <c r="B64" t="s">
        <v>84</v>
      </c>
      <c r="C64" t="s">
        <v>33</v>
      </c>
      <c r="D64" t="s">
        <v>36</v>
      </c>
      <c r="E64" s="18">
        <f>VLOOKUP($B64,[3]Sheet1!$B$7:$K$246, 4, FALSE)</f>
        <v>0.6428571428571429</v>
      </c>
      <c r="F64" s="18">
        <f>VLOOKUP($B64,[3]Sheet1!$B$7:$K$246, 7, FALSE)</f>
        <v>0.16167355371900827</v>
      </c>
      <c r="G64" s="18">
        <f>VLOOKUP($B64,[3]Sheet1!$B$7:$K$246, 10, FALSE)</f>
        <v>8.2248115147361203E-2</v>
      </c>
    </row>
    <row r="65" spans="1:7" x14ac:dyDescent="0.2">
      <c r="A65" t="s">
        <v>81</v>
      </c>
      <c r="B65" t="s">
        <v>82</v>
      </c>
      <c r="C65" t="s">
        <v>11</v>
      </c>
      <c r="D65" t="s">
        <v>7</v>
      </c>
      <c r="E65" s="18" t="str">
        <f>VLOOKUP($B65,[3]Sheet1!$B$7:$K$246, 4, FALSE)</f>
        <v>-</v>
      </c>
      <c r="F65" s="18" t="str">
        <f>VLOOKUP($B65,[3]Sheet1!$B$7:$K$246, 7, FALSE)</f>
        <v>-</v>
      </c>
      <c r="G65" s="18" t="str">
        <f>VLOOKUP($B65,[3]Sheet1!$B$7:$K$246, 10, FALSE)</f>
        <v>-</v>
      </c>
    </row>
    <row r="66" spans="1:7" x14ac:dyDescent="0.2">
      <c r="A66" t="s">
        <v>79</v>
      </c>
      <c r="B66" t="s">
        <v>80</v>
      </c>
      <c r="C66" t="s">
        <v>4</v>
      </c>
      <c r="D66" t="s">
        <v>20</v>
      </c>
      <c r="E66" s="18" t="str">
        <f>VLOOKUP($B66,[3]Sheet1!$B$7:$K$246, 4, FALSE)</f>
        <v>-</v>
      </c>
      <c r="F66" s="18" t="str">
        <f>VLOOKUP($B66,[3]Sheet1!$B$7:$K$246, 7, FALSE)</f>
        <v>-</v>
      </c>
      <c r="G66" s="18" t="str">
        <f>VLOOKUP($B66,[3]Sheet1!$B$7:$K$246, 10, FALSE)</f>
        <v>-</v>
      </c>
    </row>
    <row r="67" spans="1:7" x14ac:dyDescent="0.2">
      <c r="A67" t="s">
        <v>77</v>
      </c>
      <c r="B67" t="s">
        <v>78</v>
      </c>
      <c r="C67" t="s">
        <v>4</v>
      </c>
      <c r="D67" t="s">
        <v>20</v>
      </c>
      <c r="E67" s="18" t="str">
        <f>VLOOKUP($B67,[3]Sheet1!$B$7:$K$246, 4, FALSE)</f>
        <v>-</v>
      </c>
      <c r="F67" s="18" t="str">
        <f>VLOOKUP($B67,[3]Sheet1!$B$7:$K$246, 7, FALSE)</f>
        <v>-</v>
      </c>
      <c r="G67" s="18" t="str">
        <f>VLOOKUP($B67,[3]Sheet1!$B$7:$K$246, 10, FALSE)</f>
        <v>-</v>
      </c>
    </row>
    <row r="68" spans="1:7" x14ac:dyDescent="0.2">
      <c r="A68" t="s">
        <v>75</v>
      </c>
      <c r="B68" t="s">
        <v>76</v>
      </c>
      <c r="C68" t="s">
        <v>33</v>
      </c>
      <c r="D68" t="s">
        <v>20</v>
      </c>
      <c r="E68" s="18">
        <f>VLOOKUP($B68,[3]Sheet1!$B$7:$K$246, 4, FALSE)</f>
        <v>1</v>
      </c>
      <c r="F68" s="18">
        <f>VLOOKUP($B68,[3]Sheet1!$B$7:$K$246, 7, FALSE)</f>
        <v>0.99937343358395991</v>
      </c>
      <c r="G68" s="18">
        <f>VLOOKUP($B68,[3]Sheet1!$B$7:$K$246, 10, FALSE)</f>
        <v>1</v>
      </c>
    </row>
    <row r="69" spans="1:7" x14ac:dyDescent="0.2">
      <c r="A69" t="s">
        <v>73</v>
      </c>
      <c r="B69" t="s">
        <v>74</v>
      </c>
      <c r="C69" t="s">
        <v>18</v>
      </c>
      <c r="D69" t="s">
        <v>20</v>
      </c>
      <c r="E69" s="18" t="str">
        <f>VLOOKUP($B69,[3]Sheet1!$B$7:$K$246, 4, FALSE)</f>
        <v>-</v>
      </c>
      <c r="F69" s="18">
        <f>VLOOKUP($B69,[3]Sheet1!$B$7:$K$246, 7, FALSE)</f>
        <v>0.37784522003034904</v>
      </c>
      <c r="G69" s="18">
        <f>VLOOKUP($B69,[3]Sheet1!$B$7:$K$246, 10, FALSE)</f>
        <v>0.1122754491017964</v>
      </c>
    </row>
    <row r="70" spans="1:7" x14ac:dyDescent="0.2">
      <c r="A70" t="s">
        <v>71</v>
      </c>
      <c r="B70" t="s">
        <v>72</v>
      </c>
      <c r="C70" t="s">
        <v>33</v>
      </c>
      <c r="D70" t="s">
        <v>7</v>
      </c>
      <c r="E70" s="18" t="str">
        <f>VLOOKUP($B70,[3]Sheet1!$B$7:$K$246, 4, FALSE)</f>
        <v>-</v>
      </c>
      <c r="F70" s="18" t="str">
        <f>VLOOKUP($B70,[3]Sheet1!$B$7:$K$246, 7, FALSE)</f>
        <v>-</v>
      </c>
      <c r="G70" s="18" t="str">
        <f>VLOOKUP($B70,[3]Sheet1!$B$7:$K$246, 10, FALSE)</f>
        <v>-</v>
      </c>
    </row>
    <row r="71" spans="1:7" x14ac:dyDescent="0.2">
      <c r="A71" t="s">
        <v>69</v>
      </c>
      <c r="B71" t="s">
        <v>70</v>
      </c>
      <c r="C71" t="s">
        <v>191</v>
      </c>
      <c r="D71" t="s">
        <v>7</v>
      </c>
      <c r="E71" s="18">
        <f>VLOOKUP($B71,[3]Sheet1!$B$7:$K$246, 4, FALSE)</f>
        <v>5.007587253414264E-2</v>
      </c>
      <c r="F71" s="18">
        <f>VLOOKUP($B71,[3]Sheet1!$B$7:$K$246, 7, FALSE)</f>
        <v>0.10435571687840291</v>
      </c>
      <c r="G71" s="18">
        <f>VLOOKUP($B71,[3]Sheet1!$B$7:$K$246, 10, FALSE)</f>
        <v>2.2727272727272728E-2</v>
      </c>
    </row>
    <row r="72" spans="1:7" x14ac:dyDescent="0.2">
      <c r="A72" t="s">
        <v>67</v>
      </c>
      <c r="B72" t="s">
        <v>68</v>
      </c>
      <c r="C72" t="s">
        <v>27</v>
      </c>
      <c r="D72" t="s">
        <v>20</v>
      </c>
      <c r="E72" s="18" t="str">
        <f>VLOOKUP($B72,[3]Sheet1!$B$7:$K$246, 4, FALSE)</f>
        <v>-</v>
      </c>
      <c r="F72" s="18">
        <f>VLOOKUP($B72,[3]Sheet1!$B$7:$K$246, 7, FALSE)</f>
        <v>0.95410827150316024</v>
      </c>
      <c r="G72" s="18">
        <f>VLOOKUP($B72,[3]Sheet1!$B$7:$K$246, 10, FALSE)</f>
        <v>0.89447592067988668</v>
      </c>
    </row>
    <row r="73" spans="1:7" x14ac:dyDescent="0.2">
      <c r="A73" t="s">
        <v>65</v>
      </c>
      <c r="B73" t="s">
        <v>66</v>
      </c>
      <c r="C73" t="s">
        <v>11</v>
      </c>
      <c r="D73" t="s">
        <v>7</v>
      </c>
      <c r="E73" s="18" t="str">
        <f>VLOOKUP($B73,[3]Sheet1!$B$7:$K$246, 4, FALSE)</f>
        <v>-</v>
      </c>
      <c r="F73" s="18" t="str">
        <f>VLOOKUP($B73,[3]Sheet1!$B$7:$K$246, 7, FALSE)</f>
        <v>-</v>
      </c>
      <c r="G73" s="18" t="str">
        <f>VLOOKUP($B73,[3]Sheet1!$B$7:$K$246, 10, FALSE)</f>
        <v>-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Dashboard</vt:lpstr>
      <vt:lpstr>LIC and MIC</vt:lpstr>
      <vt:lpstr>Targets</vt:lpstr>
      <vt:lpstr>Refugee 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Karishma Silva</dc:creator>
  <cp:lastModifiedBy>Karishma Silva</cp:lastModifiedBy>
  <dcterms:created xsi:type="dcterms:W3CDTF">2023-09-27T11:42:40Z</dcterms:created>
  <dcterms:modified xsi:type="dcterms:W3CDTF">2023-12-13T07:17:40Z</dcterms:modified>
</cp:coreProperties>
</file>